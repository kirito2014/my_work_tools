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D:\10-售前2023\2023杂项内容\0618案例映射\"/>
    </mc:Choice>
  </mc:AlternateContent>
  <xr:revisionPtr revIDLastSave="0" documentId="13_ncr:1_{7E71D3E1-CBD2-47E4-8E88-92908E5A3DF1}" xr6:coauthVersionLast="47" xr6:coauthVersionMax="47" xr10:uidLastSave="{00000000-0000-0000-0000-000000000000}"/>
  <bookViews>
    <workbookView xWindow="-109" yWindow="-109" windowWidth="23452" windowHeight="12561" tabRatio="470" firstSheet="2" activeTab="6" xr2:uid="{00000000-000D-0000-FFFF-FFFF00000000}"/>
  </bookViews>
  <sheets>
    <sheet name="文档目录" sheetId="2" r:id="rId1"/>
    <sheet name="案例清单" sheetId="1" r:id="rId2"/>
    <sheet name="通用补充信息" sheetId="10" r:id="rId3"/>
    <sheet name="数据应用类补充信息" sheetId="11" r:id="rId4"/>
    <sheet name="客户清单" sheetId="6" r:id="rId5"/>
    <sheet name="附1-客户类型总览" sheetId="4" r:id="rId6"/>
    <sheet name="附2-解决方案体系" sheetId="5" r:id="rId7"/>
  </sheets>
  <functionGroups builtInGroupCount="19"/>
  <definedNames>
    <definedName name="_xlnm._FilterDatabase" localSheetId="1" hidden="1">案例清单!$A$3:$AJ$3</definedName>
    <definedName name="_Hlk19805799" localSheetId="1">案例清单!#REF!</definedName>
  </definedNames>
  <calcPr calcId="191029"/>
</workbook>
</file>

<file path=xl/calcChain.xml><?xml version="1.0" encoding="utf-8"?>
<calcChain xmlns="http://schemas.openxmlformats.org/spreadsheetml/2006/main">
  <c r="I4" i="1" l="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G32"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E29" i="6"/>
  <c r="H37" i="1" s="1"/>
  <c r="D29" i="6"/>
  <c r="G37" i="1" s="1"/>
  <c r="AF37" i="1"/>
  <c r="AE37" i="1"/>
  <c r="E28" i="6"/>
  <c r="H36" i="1" s="1"/>
  <c r="D28" i="6"/>
  <c r="G36" i="1" s="1"/>
  <c r="AF36" i="1"/>
  <c r="AE36" i="1"/>
  <c r="E27" i="6"/>
  <c r="H35" i="1" s="1"/>
  <c r="D27" i="6"/>
  <c r="G35" i="1" s="1"/>
  <c r="AF35" i="1"/>
  <c r="AE35" i="1"/>
  <c r="E26" i="6"/>
  <c r="H34" i="1" s="1"/>
  <c r="D26" i="6"/>
  <c r="G34" i="1" s="1"/>
  <c r="AF34" i="1"/>
  <c r="AE34" i="1"/>
  <c r="AF33" i="1"/>
  <c r="AE33" i="1"/>
  <c r="E25" i="6"/>
  <c r="H32" i="1" s="1"/>
  <c r="D25" i="6"/>
  <c r="G33" i="1" s="1"/>
  <c r="AF32" i="1"/>
  <c r="AE32" i="1"/>
  <c r="E24" i="6"/>
  <c r="H31" i="1" s="1"/>
  <c r="D24" i="6"/>
  <c r="G31" i="1" s="1"/>
  <c r="AF31" i="1"/>
  <c r="AE31" i="1"/>
  <c r="E23" i="6"/>
  <c r="H30" i="1" s="1"/>
  <c r="D23" i="6"/>
  <c r="G30" i="1" s="1"/>
  <c r="AF30" i="1"/>
  <c r="AE30" i="1"/>
  <c r="E22" i="6"/>
  <c r="H29" i="1" s="1"/>
  <c r="D22" i="6"/>
  <c r="G29" i="1" s="1"/>
  <c r="AF29" i="1"/>
  <c r="AE29" i="1"/>
  <c r="AF28" i="1"/>
  <c r="AE28" i="1"/>
  <c r="AF27" i="1"/>
  <c r="AE27" i="1"/>
  <c r="E21" i="6"/>
  <c r="H26" i="1" s="1"/>
  <c r="D21" i="6"/>
  <c r="G26" i="1" s="1"/>
  <c r="AF26" i="1"/>
  <c r="AE26" i="1"/>
  <c r="E20" i="6"/>
  <c r="H25" i="1" s="1"/>
  <c r="D20" i="6"/>
  <c r="G25" i="1" s="1"/>
  <c r="AF25" i="1"/>
  <c r="AE25" i="1"/>
  <c r="AF24" i="1"/>
  <c r="AE24" i="1"/>
  <c r="E19" i="6"/>
  <c r="H23" i="1" s="1"/>
  <c r="D19" i="6"/>
  <c r="G23" i="1" s="1"/>
  <c r="AF23" i="1"/>
  <c r="AE23" i="1"/>
  <c r="AF22" i="1"/>
  <c r="AE22" i="1"/>
  <c r="E18" i="6"/>
  <c r="H21" i="1" s="1"/>
  <c r="D18" i="6"/>
  <c r="G21" i="1" s="1"/>
  <c r="AF21" i="1"/>
  <c r="AE21" i="1"/>
  <c r="E17" i="6"/>
  <c r="H20" i="1" s="1"/>
  <c r="D17" i="6"/>
  <c r="G20" i="1" s="1"/>
  <c r="AF20" i="1"/>
  <c r="AE20" i="1"/>
  <c r="E16" i="6"/>
  <c r="H19" i="1" s="1"/>
  <c r="D16" i="6"/>
  <c r="G19" i="1" s="1"/>
  <c r="AF19" i="1"/>
  <c r="AE19" i="1"/>
  <c r="E15" i="6"/>
  <c r="H18" i="1" s="1"/>
  <c r="D15" i="6"/>
  <c r="G18" i="1" s="1"/>
  <c r="AF18" i="1"/>
  <c r="AE18" i="1"/>
  <c r="AF17" i="1"/>
  <c r="AE17" i="1"/>
  <c r="E14" i="6"/>
  <c r="H16" i="1" s="1"/>
  <c r="D14" i="6"/>
  <c r="G16" i="1" s="1"/>
  <c r="AF16" i="1"/>
  <c r="AE16" i="1"/>
  <c r="E13" i="6"/>
  <c r="H15" i="1" s="1"/>
  <c r="D13" i="6"/>
  <c r="G15" i="1" s="1"/>
  <c r="AF15" i="1"/>
  <c r="AE15" i="1"/>
  <c r="E12" i="6"/>
  <c r="H14" i="1" s="1"/>
  <c r="D12" i="6"/>
  <c r="G14" i="1" s="1"/>
  <c r="AF14" i="1"/>
  <c r="AE14" i="1"/>
  <c r="E11" i="6"/>
  <c r="H13" i="1" s="1"/>
  <c r="D11" i="6"/>
  <c r="G13" i="1" s="1"/>
  <c r="AF13" i="1"/>
  <c r="AE13" i="1"/>
  <c r="E10" i="6"/>
  <c r="H12" i="1" s="1"/>
  <c r="D10" i="6"/>
  <c r="G12" i="1" s="1"/>
  <c r="AF12" i="1"/>
  <c r="AE12" i="1"/>
  <c r="E9" i="6"/>
  <c r="D9" i="6"/>
  <c r="AF11" i="1"/>
  <c r="AE11" i="1"/>
  <c r="E8" i="6"/>
  <c r="H10" i="1" s="1"/>
  <c r="D8" i="6"/>
  <c r="G10" i="1" s="1"/>
  <c r="AF10" i="1"/>
  <c r="AE10" i="1"/>
  <c r="E7" i="6"/>
  <c r="H9" i="1" s="1"/>
  <c r="D7" i="6"/>
  <c r="G9" i="1" s="1"/>
  <c r="AF9" i="1"/>
  <c r="AE9" i="1"/>
  <c r="E6" i="6"/>
  <c r="H8" i="1" s="1"/>
  <c r="D6" i="6"/>
  <c r="G8" i="1" s="1"/>
  <c r="AF8" i="1"/>
  <c r="AE8" i="1"/>
  <c r="E5" i="6"/>
  <c r="D5" i="6"/>
  <c r="AF7" i="1"/>
  <c r="AE7" i="1"/>
  <c r="E4" i="6"/>
  <c r="H6" i="1" s="1"/>
  <c r="D4" i="6"/>
  <c r="G6" i="1" s="1"/>
  <c r="AF6" i="1"/>
  <c r="AE6" i="1"/>
  <c r="E3" i="6"/>
  <c r="H5" i="1" s="1"/>
  <c r="D3" i="6"/>
  <c r="G5" i="1" s="1"/>
  <c r="AF5" i="1"/>
  <c r="AE5" i="1"/>
  <c r="E2" i="6"/>
  <c r="H4" i="1" s="1"/>
  <c r="D2" i="6"/>
  <c r="G4" i="1" s="1"/>
  <c r="AF4" i="1"/>
  <c r="AE4" i="1"/>
  <c r="E37" i="6"/>
  <c r="D37" i="6"/>
  <c r="E36" i="6"/>
  <c r="D36" i="6"/>
  <c r="E35" i="6"/>
  <c r="D35" i="6"/>
  <c r="E34" i="6"/>
  <c r="D34" i="6"/>
  <c r="E33" i="6"/>
  <c r="D33" i="6"/>
  <c r="G7" i="1" l="1"/>
  <c r="H24" i="1"/>
  <c r="H17" i="1"/>
  <c r="H28" i="1"/>
  <c r="G17" i="1"/>
  <c r="H27" i="1"/>
  <c r="G28" i="1"/>
  <c r="G27" i="1"/>
  <c r="H11" i="1"/>
  <c r="G24" i="1"/>
  <c r="H22" i="1"/>
  <c r="G11" i="1"/>
  <c r="H33" i="1"/>
  <c r="G22" i="1"/>
  <c r="H7" i="1"/>
</calcChain>
</file>

<file path=xl/sharedStrings.xml><?xml version="1.0" encoding="utf-8"?>
<sst xmlns="http://schemas.openxmlformats.org/spreadsheetml/2006/main" count="1669" uniqueCount="697">
  <si>
    <t>项目实施内容</t>
  </si>
  <si>
    <t>项目实施周期</t>
  </si>
  <si>
    <t>客户联系人及联系方式</t>
  </si>
  <si>
    <t>项目状态</t>
  </si>
  <si>
    <t>销售片区</t>
  </si>
  <si>
    <t>销售区域</t>
  </si>
  <si>
    <t>客户类型</t>
    <phoneticPr fontId="8" type="noConversion"/>
  </si>
  <si>
    <t>客户细类</t>
    <phoneticPr fontId="8" type="noConversion"/>
  </si>
  <si>
    <r>
      <t xml:space="preserve">长亮数据案例统一视图
V1.0 
</t>
    </r>
    <r>
      <rPr>
        <b/>
        <sz val="14"/>
        <color theme="1"/>
        <rFont val="等线"/>
        <family val="3"/>
        <charset val="134"/>
        <scheme val="minor"/>
      </rPr>
      <t>解决方案部修订</t>
    </r>
    <phoneticPr fontId="8" type="noConversion"/>
  </si>
  <si>
    <t>合同名称</t>
    <phoneticPr fontId="8" type="noConversion"/>
  </si>
  <si>
    <t>客户大类</t>
    <phoneticPr fontId="8" type="noConversion"/>
  </si>
  <si>
    <t>银行业</t>
    <phoneticPr fontId="8" type="noConversion"/>
  </si>
  <si>
    <t>合同年份</t>
    <phoneticPr fontId="8" type="noConversion"/>
  </si>
  <si>
    <t>客户信息</t>
    <phoneticPr fontId="8" type="noConversion"/>
  </si>
  <si>
    <t>归属信息</t>
    <phoneticPr fontId="8" type="noConversion"/>
  </si>
  <si>
    <t>数据仓库</t>
    <phoneticPr fontId="8" type="noConversion"/>
  </si>
  <si>
    <t>客户管理</t>
    <phoneticPr fontId="8" type="noConversion"/>
  </si>
  <si>
    <t>风险管理</t>
    <phoneticPr fontId="8" type="noConversion"/>
  </si>
  <si>
    <t>备注</t>
    <phoneticPr fontId="8" type="noConversion"/>
  </si>
  <si>
    <t>民营银行</t>
    <phoneticPr fontId="8" type="noConversion"/>
  </si>
  <si>
    <t>银行业</t>
    <phoneticPr fontId="8" type="noConversion"/>
  </si>
  <si>
    <t>中央银行</t>
    <phoneticPr fontId="8" type="noConversion"/>
  </si>
  <si>
    <t>政策性银行</t>
    <phoneticPr fontId="8" type="noConversion"/>
  </si>
  <si>
    <t>商业银行</t>
    <phoneticPr fontId="8" type="noConversion"/>
  </si>
  <si>
    <t>国有大行</t>
    <phoneticPr fontId="8" type="noConversion"/>
  </si>
  <si>
    <t>股份制银行</t>
    <phoneticPr fontId="8" type="noConversion"/>
  </si>
  <si>
    <t>农信社</t>
    <phoneticPr fontId="8" type="noConversion"/>
  </si>
  <si>
    <t>城商行</t>
    <phoneticPr fontId="8" type="noConversion"/>
  </si>
  <si>
    <t>农商行</t>
    <phoneticPr fontId="8" type="noConversion"/>
  </si>
  <si>
    <t>村镇银行</t>
    <phoneticPr fontId="8" type="noConversion"/>
  </si>
  <si>
    <t>外资银行</t>
    <phoneticPr fontId="8" type="noConversion"/>
  </si>
  <si>
    <t>境外银行</t>
    <phoneticPr fontId="8" type="noConversion"/>
  </si>
  <si>
    <t>直销银行</t>
    <phoneticPr fontId="8" type="noConversion"/>
  </si>
  <si>
    <t>非银行金融业</t>
    <phoneticPr fontId="8" type="noConversion"/>
  </si>
  <si>
    <t>证券业</t>
    <phoneticPr fontId="8" type="noConversion"/>
  </si>
  <si>
    <t>证券公司</t>
    <phoneticPr fontId="8" type="noConversion"/>
  </si>
  <si>
    <t>基金公司</t>
    <phoneticPr fontId="8" type="noConversion"/>
  </si>
  <si>
    <t>保险业</t>
    <phoneticPr fontId="8" type="noConversion"/>
  </si>
  <si>
    <t>保险公司</t>
    <phoneticPr fontId="8" type="noConversion"/>
  </si>
  <si>
    <t>信托业</t>
    <phoneticPr fontId="8" type="noConversion"/>
  </si>
  <si>
    <t>信托公司</t>
    <phoneticPr fontId="8" type="noConversion"/>
  </si>
  <si>
    <t>租赁业</t>
    <phoneticPr fontId="8" type="noConversion"/>
  </si>
  <si>
    <t>租赁公司</t>
    <phoneticPr fontId="8" type="noConversion"/>
  </si>
  <si>
    <t>其它金融机构</t>
    <phoneticPr fontId="8" type="noConversion"/>
  </si>
  <si>
    <t>财务公司</t>
    <phoneticPr fontId="8" type="noConversion"/>
  </si>
  <si>
    <t>理财公司</t>
    <phoneticPr fontId="8" type="noConversion"/>
  </si>
  <si>
    <t>资产管理公司</t>
    <phoneticPr fontId="8" type="noConversion"/>
  </si>
  <si>
    <t>资本公司</t>
    <phoneticPr fontId="8" type="noConversion"/>
  </si>
  <si>
    <t>结算公司</t>
    <phoneticPr fontId="8" type="noConversion"/>
  </si>
  <si>
    <t>消费金融公司</t>
    <phoneticPr fontId="8" type="noConversion"/>
  </si>
  <si>
    <t>金融支付公司</t>
    <phoneticPr fontId="8" type="noConversion"/>
  </si>
  <si>
    <t>期货公司</t>
    <phoneticPr fontId="8" type="noConversion"/>
  </si>
  <si>
    <t>银行业联盟</t>
    <phoneticPr fontId="8" type="noConversion"/>
  </si>
  <si>
    <t>金融科技公司</t>
    <phoneticPr fontId="8" type="noConversion"/>
  </si>
  <si>
    <t xml:space="preserve">咨询规划类
</t>
    <phoneticPr fontId="8" type="noConversion"/>
  </si>
  <si>
    <t>数据管理类</t>
    <phoneticPr fontId="8" type="noConversion"/>
  </si>
  <si>
    <t>数据应用类</t>
    <phoneticPr fontId="8" type="noConversion"/>
  </si>
  <si>
    <t>一级分类</t>
    <phoneticPr fontId="8" type="noConversion"/>
  </si>
  <si>
    <t>二级分类</t>
    <phoneticPr fontId="8" type="noConversion"/>
  </si>
  <si>
    <t>数据架构咨询规划</t>
    <phoneticPr fontId="8" type="noConversion"/>
  </si>
  <si>
    <t>数据挖掘模型</t>
    <phoneticPr fontId="8" type="noConversion"/>
  </si>
  <si>
    <t>数据平台类</t>
    <phoneticPr fontId="8" type="noConversion"/>
  </si>
  <si>
    <t>实时数据平台</t>
    <phoneticPr fontId="8" type="noConversion"/>
  </si>
  <si>
    <t>数据湖</t>
    <phoneticPr fontId="8" type="noConversion"/>
  </si>
  <si>
    <t>非结构化数据平台</t>
    <phoneticPr fontId="8" type="noConversion"/>
  </si>
  <si>
    <t>历史数据平台</t>
    <phoneticPr fontId="8" type="noConversion"/>
  </si>
  <si>
    <t>数仓迁移</t>
    <phoneticPr fontId="8" type="noConversion"/>
  </si>
  <si>
    <t>ODS</t>
    <phoneticPr fontId="8" type="noConversion"/>
  </si>
  <si>
    <t>配套产品实施</t>
    <phoneticPr fontId="8" type="noConversion"/>
  </si>
  <si>
    <t>数据交换平台</t>
    <phoneticPr fontId="8" type="noConversion"/>
  </si>
  <si>
    <t>外部数据管理平台</t>
    <phoneticPr fontId="8" type="noConversion"/>
  </si>
  <si>
    <t>调度监控平台</t>
    <phoneticPr fontId="8" type="noConversion"/>
  </si>
  <si>
    <t>数据补录平台</t>
    <phoneticPr fontId="8" type="noConversion"/>
  </si>
  <si>
    <t>数据开发平台</t>
    <phoneticPr fontId="8" type="noConversion"/>
  </si>
  <si>
    <t>平台实施</t>
    <phoneticPr fontId="8" type="noConversion"/>
  </si>
  <si>
    <t>数据管控平台</t>
    <phoneticPr fontId="8" type="noConversion"/>
  </si>
  <si>
    <t>咨询</t>
    <phoneticPr fontId="8" type="noConversion"/>
  </si>
  <si>
    <t>数据标准</t>
    <phoneticPr fontId="8" type="noConversion"/>
  </si>
  <si>
    <t>数据质量</t>
    <phoneticPr fontId="8" type="noConversion"/>
  </si>
  <si>
    <t>元数据</t>
    <phoneticPr fontId="8" type="noConversion"/>
  </si>
  <si>
    <t>数据安全</t>
    <phoneticPr fontId="8" type="noConversion"/>
  </si>
  <si>
    <t>数据资产盘点</t>
    <phoneticPr fontId="8" type="noConversion"/>
  </si>
  <si>
    <t>数据模型</t>
    <phoneticPr fontId="8" type="noConversion"/>
  </si>
  <si>
    <t>主数据</t>
    <phoneticPr fontId="8" type="noConversion"/>
  </si>
  <si>
    <t>制度流程</t>
    <phoneticPr fontId="8" type="noConversion"/>
  </si>
  <si>
    <t>组织架构</t>
    <phoneticPr fontId="8" type="noConversion"/>
  </si>
  <si>
    <t>数据分析类</t>
    <phoneticPr fontId="8" type="noConversion"/>
  </si>
  <si>
    <t>条线集市</t>
    <phoneticPr fontId="8" type="noConversion"/>
  </si>
  <si>
    <t>零售集市</t>
    <phoneticPr fontId="8" type="noConversion"/>
  </si>
  <si>
    <t>信用卡集市</t>
    <phoneticPr fontId="8" type="noConversion"/>
  </si>
  <si>
    <t>对公集市</t>
    <phoneticPr fontId="8" type="noConversion"/>
  </si>
  <si>
    <t>同业集市</t>
    <phoneticPr fontId="8" type="noConversion"/>
  </si>
  <si>
    <t>风险集市</t>
    <phoneticPr fontId="8" type="noConversion"/>
  </si>
  <si>
    <t>报表集市</t>
    <phoneticPr fontId="8" type="noConversion"/>
  </si>
  <si>
    <t>监管集市</t>
    <phoneticPr fontId="8" type="noConversion"/>
  </si>
  <si>
    <t>分行集市</t>
    <phoneticPr fontId="8" type="noConversion"/>
  </si>
  <si>
    <t>客户集市</t>
    <phoneticPr fontId="8" type="noConversion"/>
  </si>
  <si>
    <t>财务集市</t>
    <phoneticPr fontId="8" type="noConversion"/>
  </si>
  <si>
    <t>管理会计集市</t>
    <phoneticPr fontId="8" type="noConversion"/>
  </si>
  <si>
    <t>指标管理平台</t>
    <phoneticPr fontId="8" type="noConversion"/>
  </si>
  <si>
    <t>标签管理平台</t>
    <phoneticPr fontId="8" type="noConversion"/>
  </si>
  <si>
    <t>指标集市</t>
    <phoneticPr fontId="8" type="noConversion"/>
  </si>
  <si>
    <t>标签库</t>
    <phoneticPr fontId="8" type="noConversion"/>
  </si>
  <si>
    <t>指标/标签</t>
    <phoneticPr fontId="8" type="noConversion"/>
  </si>
  <si>
    <t>对公CRM</t>
    <phoneticPr fontId="8" type="noConversion"/>
  </si>
  <si>
    <t>经营分析平台</t>
  </si>
  <si>
    <t>统一数据门户</t>
  </si>
  <si>
    <t>PC端管理驾驶舱</t>
  </si>
  <si>
    <t>移动端管理驾驶舱</t>
  </si>
  <si>
    <t>报表平台</t>
  </si>
  <si>
    <t>大屏</t>
  </si>
  <si>
    <t>网点运营管理系统</t>
  </si>
  <si>
    <t>资产负债数字化经营</t>
  </si>
  <si>
    <t>数字信贷业务数字化运营</t>
  </si>
  <si>
    <t>经营分析类</t>
    <phoneticPr fontId="8" type="noConversion"/>
  </si>
  <si>
    <t>销售信息</t>
    <phoneticPr fontId="8" type="noConversion"/>
  </si>
  <si>
    <t>对私CRM</t>
  </si>
  <si>
    <t>统一CRM</t>
  </si>
  <si>
    <t>客户画像</t>
  </si>
  <si>
    <t>营销平台</t>
  </si>
  <si>
    <t>数据服务平台</t>
    <phoneticPr fontId="8" type="noConversion"/>
  </si>
  <si>
    <t>数据服务</t>
    <phoneticPr fontId="8" type="noConversion"/>
  </si>
  <si>
    <t>内部资本充足率评估程序（ICAAP)产品</t>
  </si>
  <si>
    <t>智慧审计画像平台</t>
  </si>
  <si>
    <t>智慧模型风险管理平台</t>
  </si>
  <si>
    <t>信贷风险预警系统</t>
  </si>
  <si>
    <t>特殊资产管理</t>
  </si>
  <si>
    <t>全面风险管理系统</t>
  </si>
  <si>
    <t>内部评级系统</t>
  </si>
  <si>
    <t>决策引擎</t>
  </si>
  <si>
    <t>关联交易管理系统</t>
  </si>
  <si>
    <t>风险数智分析平台</t>
  </si>
  <si>
    <t>风控决策平台产品</t>
  </si>
  <si>
    <t>市场风险</t>
  </si>
  <si>
    <t>人行利率报送</t>
  </si>
  <si>
    <t>EAST</t>
  </si>
  <si>
    <t>MAST</t>
  </si>
  <si>
    <t>存贷标准化</t>
  </si>
  <si>
    <t>反洗钱</t>
  </si>
  <si>
    <t>人民银行支付统计（PISA)</t>
  </si>
  <si>
    <t>存款保险信息报送</t>
  </si>
  <si>
    <t>金融基础数据报送</t>
  </si>
  <si>
    <t>监管报送</t>
    <phoneticPr fontId="8" type="noConversion"/>
  </si>
  <si>
    <t>资金管理系统</t>
    <phoneticPr fontId="8" type="noConversion"/>
  </si>
  <si>
    <t>投诉管理系统</t>
    <phoneticPr fontId="8" type="noConversion"/>
  </si>
  <si>
    <t>ECIF</t>
    <phoneticPr fontId="8" type="noConversion"/>
  </si>
  <si>
    <t>业务系统类</t>
    <phoneticPr fontId="8" type="noConversion"/>
  </si>
  <si>
    <t>解决方案名</t>
    <phoneticPr fontId="8" type="noConversion"/>
  </si>
  <si>
    <t>数据聚合类</t>
    <phoneticPr fontId="8" type="noConversion"/>
  </si>
  <si>
    <t>统一监管报送</t>
    <phoneticPr fontId="8" type="noConversion"/>
  </si>
  <si>
    <t>（数据架构咨询规划，数据挖掘模型）</t>
    <phoneticPr fontId="8" type="noConversion"/>
  </si>
  <si>
    <t>合同基本信息</t>
    <phoneticPr fontId="8" type="noConversion"/>
  </si>
  <si>
    <t>解决方案分类</t>
    <phoneticPr fontId="8" type="noConversion"/>
  </si>
  <si>
    <t>数据服务
（数据服务平台）</t>
    <phoneticPr fontId="8" type="noConversion"/>
  </si>
  <si>
    <t>客户管理
（对公CRM，对私CRM，统一CRM，客户画像，营销平台）</t>
    <phoneticPr fontId="8" type="noConversion"/>
  </si>
  <si>
    <t>风险管理
（风险加权资产计量系统（RWA）产品，内部资本充足率评估程序（ICAAP)产品，智慧审计画像平台，智慧模型风险管理平台，信贷风险预警系统，特殊资产管理，全面风险管理系统，内部评级系统，决策引擎，关联交易管理系统，风险数智分析平台，风控决策平台产品，大额风险暴露管理系统（LRE）产品，市场风险）</t>
    <phoneticPr fontId="8" type="noConversion"/>
  </si>
  <si>
    <t>项目补充信息</t>
    <phoneticPr fontId="8" type="noConversion"/>
  </si>
  <si>
    <t>主管系统部</t>
    <phoneticPr fontId="8" type="noConversion"/>
  </si>
  <si>
    <t>分管系统部</t>
    <phoneticPr fontId="8" type="noConversion"/>
  </si>
  <si>
    <t>数据库迁移</t>
    <phoneticPr fontId="8" type="noConversion"/>
  </si>
  <si>
    <t>其它补充信息</t>
    <phoneticPr fontId="8" type="noConversion"/>
  </si>
  <si>
    <t>监管报送
（统一监管报送，1104，人行金融统计报送（大集中），人行利率报送，EAST，MAST，存贷标准化，反洗钱，人民银行支付统计（PISA)，存款保险信息报送，金融基础数据报送，客户风险报送，地方性监管报送）</t>
    <phoneticPr fontId="8" type="noConversion"/>
  </si>
  <si>
    <t>数据平台类
（数据仓库，实时数据平台，数据湖，非结构化数据平台，历史数据平台，数仓迁移，ODS）</t>
    <phoneticPr fontId="8" type="noConversion"/>
  </si>
  <si>
    <t>城商行</t>
    <phoneticPr fontId="8" type="noConversion"/>
  </si>
  <si>
    <t>公共风险集市</t>
  </si>
  <si>
    <t>公司金融板块数据集市</t>
  </si>
  <si>
    <t>绩效考核集市</t>
  </si>
  <si>
    <t>交易银行批发产品集市建设</t>
  </si>
  <si>
    <t>金融市场集市</t>
  </si>
  <si>
    <t>经营分析集市</t>
  </si>
  <si>
    <t>零售内评集市</t>
  </si>
  <si>
    <t>审计集市</t>
  </si>
  <si>
    <t>市场风险集市</t>
  </si>
  <si>
    <t>网贷集市</t>
  </si>
  <si>
    <t>远程集市</t>
  </si>
  <si>
    <t>数据资产管理平台</t>
    <phoneticPr fontId="8" type="noConversion"/>
  </si>
  <si>
    <t>条线集市
（零售集市，信用卡集市，对公集市，同业集市，风险集市，报表集市，监管集市，分行集市，客户集市，财务集市，公共风险集市，公司金融板块数据集市，绩效考核集市，交易银行批发产品集市建设，金融市场集市，经营分析集市，零售内评集市，审计集市，市场风险集市，网贷集市，远程集市，管理会计集市）</t>
    <phoneticPr fontId="8" type="noConversion"/>
  </si>
  <si>
    <t>标签梳理</t>
    <phoneticPr fontId="8" type="noConversion"/>
  </si>
  <si>
    <t>指标梳理</t>
    <phoneticPr fontId="8" type="noConversion"/>
  </si>
  <si>
    <t>数据实验平台</t>
    <phoneticPr fontId="8" type="noConversion"/>
  </si>
  <si>
    <t>PC端指标看板</t>
    <phoneticPr fontId="8" type="noConversion"/>
  </si>
  <si>
    <t>移动端指标看板</t>
    <phoneticPr fontId="8" type="noConversion"/>
  </si>
  <si>
    <t>客户风险报送</t>
    <phoneticPr fontId="8" type="noConversion"/>
  </si>
  <si>
    <t>地方性监管报送</t>
    <phoneticPr fontId="8" type="noConversion"/>
  </si>
  <si>
    <t>风险加权资产计量系统（RWA）产品</t>
    <phoneticPr fontId="8" type="noConversion"/>
  </si>
  <si>
    <t>大额风险暴露管理系统（LRE）产品</t>
    <phoneticPr fontId="8" type="noConversion"/>
  </si>
  <si>
    <t>是否新开业或银行合并</t>
    <phoneticPr fontId="8" type="noConversion"/>
  </si>
  <si>
    <t>上下游信息</t>
    <phoneticPr fontId="8" type="noConversion"/>
  </si>
  <si>
    <t>硬件、软件</t>
    <phoneticPr fontId="8" type="noConversion"/>
  </si>
  <si>
    <t>数据应用类补充信息</t>
    <phoneticPr fontId="8" type="noConversion"/>
  </si>
  <si>
    <t>客户名称变更记录
（撤销、合并、改名等）</t>
    <phoneticPr fontId="8" type="noConversion"/>
  </si>
  <si>
    <t>案例信息反馈人</t>
    <phoneticPr fontId="8" type="noConversion"/>
  </si>
  <si>
    <t>指标/标签
（指标管理平台，标签管理平台，指标梳理，标签梳理、指标库、标签库）</t>
    <phoneticPr fontId="8" type="noConversion"/>
  </si>
  <si>
    <t>通用补充信息</t>
    <phoneticPr fontId="8" type="noConversion"/>
  </si>
  <si>
    <t>非金融业</t>
    <phoneticPr fontId="8" type="noConversion"/>
  </si>
  <si>
    <t>企业客户</t>
    <phoneticPr fontId="8" type="noConversion"/>
  </si>
  <si>
    <t>集团公司</t>
    <phoneticPr fontId="8" type="noConversion"/>
  </si>
  <si>
    <t>一般企业</t>
    <phoneticPr fontId="8" type="noConversion"/>
  </si>
  <si>
    <t>外资企业</t>
    <phoneticPr fontId="8" type="noConversion"/>
  </si>
  <si>
    <r>
      <t xml:space="preserve">客户资产规模（亿元）
</t>
    </r>
    <r>
      <rPr>
        <sz val="10"/>
        <color rgb="FFFF0000"/>
        <rFont val="微软雅黑"/>
        <family val="2"/>
      </rPr>
      <t>（2022年，每年第三季度刷新）</t>
    </r>
    <phoneticPr fontId="8" type="noConversion"/>
  </si>
  <si>
    <r>
      <t xml:space="preserve">所属省
</t>
    </r>
    <r>
      <rPr>
        <sz val="10"/>
        <color rgb="FFFF0000"/>
        <rFont val="微软雅黑"/>
        <family val="2"/>
      </rPr>
      <t>（下拉框）</t>
    </r>
    <phoneticPr fontId="8" type="noConversion"/>
  </si>
  <si>
    <r>
      <t xml:space="preserve">客户大类
</t>
    </r>
    <r>
      <rPr>
        <sz val="10"/>
        <color rgb="FFFF0000"/>
        <rFont val="微软雅黑"/>
        <family val="2"/>
      </rPr>
      <t>(不要手工输入，填好C列后公式自动刷）</t>
    </r>
    <phoneticPr fontId="8" type="noConversion"/>
  </si>
  <si>
    <r>
      <t xml:space="preserve">客户类型
</t>
    </r>
    <r>
      <rPr>
        <sz val="10"/>
        <color rgb="FFFF0000"/>
        <rFont val="微软雅黑"/>
        <family val="2"/>
      </rPr>
      <t>(不要手工输入，填好C列后公式自动刷）</t>
    </r>
    <phoneticPr fontId="8" type="noConversion"/>
  </si>
  <si>
    <t>移动端数据门户</t>
    <phoneticPr fontId="8" type="noConversion"/>
  </si>
  <si>
    <t>经营分析类
（经营分析平台，数据实验平台，统一数据门户，移动端数据门户，PC端管理驾驶舱，移动端管理驾驶舱，报表平台，大屏，PC端指标看板，移动端指标看板、网点运营管理系统，资产负债数字化经营，数字信贷业务数字化运营）</t>
    <phoneticPr fontId="8" type="noConversion"/>
  </si>
  <si>
    <t>人行金融统计报送（大集中）</t>
    <phoneticPr fontId="8" type="noConversion"/>
  </si>
  <si>
    <r>
      <t xml:space="preserve">客户细类
</t>
    </r>
    <r>
      <rPr>
        <sz val="10"/>
        <color rgb="FFFF0000"/>
        <rFont val="微软雅黑"/>
        <family val="2"/>
      </rPr>
      <t>（下拉框）</t>
    </r>
    <phoneticPr fontId="8" type="noConversion"/>
  </si>
  <si>
    <t>证券交易所</t>
    <phoneticPr fontId="8" type="noConversion"/>
  </si>
  <si>
    <t>期货交易所</t>
    <phoneticPr fontId="8" type="noConversion"/>
  </si>
  <si>
    <t>票据交易所</t>
    <phoneticPr fontId="8" type="noConversion"/>
  </si>
  <si>
    <t>咨询
（数据标准，数据质量，元数据，数据安全，数据资产盘点，数据模型，主数据，制度流程，组织架构）</t>
    <phoneticPr fontId="8" type="noConversion"/>
  </si>
  <si>
    <t>配套产品实施
（数据交换平台，外部数据管理平台，调度平台，数据补录平台，数据开发平台）</t>
    <phoneticPr fontId="8" type="noConversion"/>
  </si>
  <si>
    <t>平台实施
（数据标准管理模块，元数据管理模块，数据质量管理模块，数据资产管理模块，数据安全管理模块，主数据管理模块，数据模型管理模块，数据需求管理模块）</t>
    <phoneticPr fontId="8" type="noConversion"/>
  </si>
  <si>
    <t>（ECIF，资金管理系统，投诉管理系统）</t>
    <phoneticPr fontId="8" type="noConversion"/>
  </si>
  <si>
    <t>（数据库产品及版本号，报表产品及版本号，其它产品及版本号</t>
    <phoneticPr fontId="8" type="noConversion"/>
  </si>
  <si>
    <t>返回</t>
    <phoneticPr fontId="8" type="noConversion"/>
  </si>
  <si>
    <r>
      <t>解决方案分类汇总
（</t>
    </r>
    <r>
      <rPr>
        <sz val="10"/>
        <color rgb="FFFF0000"/>
        <rFont val="微软雅黑"/>
        <family val="2"/>
        <charset val="134"/>
      </rPr>
      <t>不要手填，公式自动刷</t>
    </r>
    <r>
      <rPr>
        <b/>
        <sz val="10"/>
        <rFont val="微软雅黑"/>
        <family val="2"/>
        <charset val="134"/>
      </rPr>
      <t>）</t>
    </r>
    <phoneticPr fontId="8" type="noConversion"/>
  </si>
  <si>
    <r>
      <t>咨询规划类
（</t>
    </r>
    <r>
      <rPr>
        <sz val="10"/>
        <color rgb="FFFF0000"/>
        <rFont val="微软雅黑"/>
        <family val="2"/>
        <charset val="134"/>
      </rPr>
      <t>填多项内容的话用，隔开</t>
    </r>
    <r>
      <rPr>
        <b/>
        <sz val="10"/>
        <rFont val="微软雅黑"/>
        <family val="2"/>
        <charset val="134"/>
      </rPr>
      <t>）</t>
    </r>
    <phoneticPr fontId="8" type="noConversion"/>
  </si>
  <si>
    <r>
      <t>数据聚合类
（</t>
    </r>
    <r>
      <rPr>
        <sz val="10"/>
        <color rgb="FFFF0000"/>
        <rFont val="微软雅黑"/>
        <family val="2"/>
        <charset val="134"/>
      </rPr>
      <t>填多项内容的话用，隔开</t>
    </r>
    <r>
      <rPr>
        <b/>
        <sz val="10"/>
        <rFont val="微软雅黑"/>
        <family val="2"/>
        <charset val="134"/>
      </rPr>
      <t>）</t>
    </r>
    <phoneticPr fontId="8" type="noConversion"/>
  </si>
  <si>
    <r>
      <t>数据管理类
（</t>
    </r>
    <r>
      <rPr>
        <sz val="10"/>
        <color rgb="FFFF0000"/>
        <rFont val="微软雅黑"/>
        <family val="2"/>
        <charset val="134"/>
      </rPr>
      <t>填多项内容的话用，隔开</t>
    </r>
    <r>
      <rPr>
        <b/>
        <sz val="10"/>
        <rFont val="微软雅黑"/>
        <family val="2"/>
        <charset val="134"/>
      </rPr>
      <t>）</t>
    </r>
    <phoneticPr fontId="8" type="noConversion"/>
  </si>
  <si>
    <r>
      <t>数据分析类
（</t>
    </r>
    <r>
      <rPr>
        <sz val="10"/>
        <color rgb="FFFF0000"/>
        <rFont val="微软雅黑"/>
        <family val="2"/>
        <charset val="134"/>
      </rPr>
      <t>填多项内容的话用，隔开</t>
    </r>
    <r>
      <rPr>
        <b/>
        <sz val="10"/>
        <rFont val="微软雅黑"/>
        <family val="2"/>
        <charset val="134"/>
      </rPr>
      <t>）</t>
    </r>
    <phoneticPr fontId="8" type="noConversion"/>
  </si>
  <si>
    <r>
      <t>数据应用类
（</t>
    </r>
    <r>
      <rPr>
        <sz val="10"/>
        <color rgb="FFFF0000"/>
        <rFont val="微软雅黑"/>
        <family val="2"/>
        <charset val="134"/>
      </rPr>
      <t>填多项内容的话用，隔开</t>
    </r>
    <r>
      <rPr>
        <b/>
        <sz val="10"/>
        <rFont val="微软雅黑"/>
        <family val="2"/>
        <charset val="134"/>
      </rPr>
      <t>）</t>
    </r>
    <phoneticPr fontId="8" type="noConversion"/>
  </si>
  <si>
    <r>
      <t>业务系统
（</t>
    </r>
    <r>
      <rPr>
        <sz val="10"/>
        <color rgb="FFFF0000"/>
        <rFont val="微软雅黑"/>
        <family val="2"/>
        <charset val="134"/>
      </rPr>
      <t>多项内容用，隔开</t>
    </r>
    <r>
      <rPr>
        <b/>
        <sz val="10"/>
        <rFont val="微软雅黑"/>
        <family val="2"/>
        <charset val="134"/>
      </rPr>
      <t>）</t>
    </r>
    <phoneticPr fontId="8" type="noConversion"/>
  </si>
  <si>
    <r>
      <t>代销
（</t>
    </r>
    <r>
      <rPr>
        <sz val="10"/>
        <color rgb="FFFF0000"/>
        <rFont val="微软雅黑"/>
        <family val="2"/>
        <charset val="134"/>
      </rPr>
      <t>多项内容用，隔开</t>
    </r>
    <r>
      <rPr>
        <b/>
        <sz val="10"/>
        <rFont val="微软雅黑"/>
        <family val="2"/>
        <charset val="134"/>
      </rPr>
      <t>）</t>
    </r>
    <phoneticPr fontId="8" type="noConversion"/>
  </si>
  <si>
    <r>
      <t xml:space="preserve">项目规模（万元）
</t>
    </r>
    <r>
      <rPr>
        <sz val="10"/>
        <color rgb="FFFF0000"/>
        <rFont val="微软雅黑"/>
        <family val="2"/>
        <charset val="134"/>
      </rPr>
      <t>（下拉框筛选）</t>
    </r>
    <phoneticPr fontId="8" type="noConversion"/>
  </si>
  <si>
    <r>
      <t xml:space="preserve">是否人力外包
</t>
    </r>
    <r>
      <rPr>
        <sz val="10"/>
        <color rgb="FFFF0000"/>
        <rFont val="微软雅黑"/>
        <family val="2"/>
        <charset val="134"/>
      </rPr>
      <t>（下拉框筛选）</t>
    </r>
    <phoneticPr fontId="8" type="noConversion"/>
  </si>
  <si>
    <r>
      <t xml:space="preserve">客户简称
</t>
    </r>
    <r>
      <rPr>
        <sz val="10"/>
        <color rgb="FFFF0000"/>
        <rFont val="微软雅黑"/>
        <family val="2"/>
        <charset val="134"/>
      </rPr>
      <t>（客户简称要与“客户清单”中客户简称保持一致）</t>
    </r>
    <phoneticPr fontId="8" type="noConversion"/>
  </si>
  <si>
    <r>
      <t xml:space="preserve">客户细类
</t>
    </r>
    <r>
      <rPr>
        <sz val="10"/>
        <color rgb="FFFF0000"/>
        <rFont val="微软雅黑"/>
        <family val="2"/>
        <charset val="134"/>
      </rPr>
      <t>（不要手工输入，E列填好后刷公式即可）</t>
    </r>
    <phoneticPr fontId="8" type="noConversion"/>
  </si>
  <si>
    <r>
      <t>客户类型
（</t>
    </r>
    <r>
      <rPr>
        <sz val="10"/>
        <color rgb="FFFF0000"/>
        <rFont val="微软雅黑"/>
        <family val="2"/>
        <charset val="134"/>
      </rPr>
      <t>不要手工输入，E列填好后刷公式即可</t>
    </r>
    <r>
      <rPr>
        <b/>
        <sz val="10"/>
        <rFont val="微软雅黑"/>
        <family val="2"/>
        <charset val="134"/>
      </rPr>
      <t>）</t>
    </r>
    <phoneticPr fontId="8" type="noConversion"/>
  </si>
  <si>
    <r>
      <t>客户大类
（</t>
    </r>
    <r>
      <rPr>
        <sz val="10"/>
        <color rgb="FFFF0000"/>
        <rFont val="微软雅黑"/>
        <family val="2"/>
        <charset val="134"/>
      </rPr>
      <t>不要手工输入，E列填好后刷公式即可</t>
    </r>
    <r>
      <rPr>
        <b/>
        <sz val="10"/>
        <rFont val="微软雅黑"/>
        <family val="2"/>
        <charset val="134"/>
      </rPr>
      <t>）</t>
    </r>
    <phoneticPr fontId="8" type="noConversion"/>
  </si>
  <si>
    <r>
      <t>客户资产规模（亿）
（</t>
    </r>
    <r>
      <rPr>
        <sz val="10"/>
        <color rgb="FFFF0000"/>
        <rFont val="微软雅黑"/>
        <family val="2"/>
        <charset val="134"/>
      </rPr>
      <t>不要手工输入，E列填好后刷公式即可</t>
    </r>
    <r>
      <rPr>
        <b/>
        <sz val="10"/>
        <rFont val="微软雅黑"/>
        <family val="2"/>
        <charset val="134"/>
      </rPr>
      <t>）</t>
    </r>
    <phoneticPr fontId="8" type="noConversion"/>
  </si>
  <si>
    <t>交换平台产品</t>
  </si>
  <si>
    <t>原实施厂商</t>
  </si>
  <si>
    <t>合同基本信息</t>
  </si>
  <si>
    <t>硬件、软件</t>
  </si>
  <si>
    <t>备注</t>
  </si>
  <si>
    <t>合同名称</t>
  </si>
  <si>
    <t>数据库类型</t>
  </si>
  <si>
    <t>数据库产品版本号</t>
  </si>
  <si>
    <t>节点数</t>
  </si>
  <si>
    <t>代理厂商</t>
  </si>
  <si>
    <t>BI工具</t>
  </si>
  <si>
    <t>调度平台产品</t>
  </si>
  <si>
    <t>开发平台产品</t>
  </si>
  <si>
    <t>数据资产管理产品</t>
  </si>
  <si>
    <t>模型管理产品</t>
  </si>
  <si>
    <t>服务器</t>
  </si>
  <si>
    <t>操作系统</t>
  </si>
  <si>
    <t>中间件</t>
  </si>
  <si>
    <t>其它产品</t>
  </si>
  <si>
    <t>支撑应用
（多项用，隔开）</t>
  </si>
  <si>
    <t>是否配合新核心改造</t>
  </si>
  <si>
    <t>是否数据迁移</t>
  </si>
  <si>
    <t>迁移目标数据产品</t>
  </si>
  <si>
    <t>计划迁移周期</t>
  </si>
  <si>
    <t>迁移进展</t>
  </si>
  <si>
    <t>数据源
（数据仓库、大数据平台、XX集市等）</t>
  </si>
  <si>
    <t>报表工具</t>
  </si>
  <si>
    <t>是否代理报表工具</t>
  </si>
  <si>
    <t>报表工具节点数</t>
  </si>
  <si>
    <t>报表工具知识库</t>
  </si>
  <si>
    <t>200-300</t>
  </si>
  <si>
    <t>是</t>
  </si>
  <si>
    <t>无</t>
  </si>
  <si>
    <t>数据仓库</t>
  </si>
  <si>
    <t>实施中</t>
  </si>
  <si>
    <t>上海</t>
  </si>
  <si>
    <t>MPP</t>
  </si>
  <si>
    <t>/</t>
  </si>
  <si>
    <t>否</t>
  </si>
  <si>
    <t>数据资产管理1部</t>
  </si>
  <si>
    <t>华南</t>
  </si>
  <si>
    <t>浪潮NF5280</t>
  </si>
  <si>
    <t>ORACLE</t>
  </si>
  <si>
    <t>SmartBI</t>
  </si>
  <si>
    <t>数据资产管理部</t>
  </si>
  <si>
    <t>100-200</t>
  </si>
  <si>
    <t>北京</t>
  </si>
  <si>
    <t>&lt;100</t>
  </si>
  <si>
    <t>Oracle</t>
  </si>
  <si>
    <t>长亮科技数据资产管理平台v2.0</t>
  </si>
  <si>
    <t>自主研发</t>
  </si>
  <si>
    <t>监管集市</t>
  </si>
  <si>
    <t>GaussDB 200</t>
  </si>
  <si>
    <t>华北</t>
  </si>
  <si>
    <t>400-500</t>
  </si>
  <si>
    <t>数据标准，数据质量，元数据，制度流程，组织架构，主数据，数据安全</t>
  </si>
  <si>
    <t>金融业务4A部</t>
  </si>
  <si>
    <t>已完成</t>
  </si>
  <si>
    <t>示例：
一、	项目背景
数据平台是财务公司数字化转型过程中必备的金融数字化能力平台，是落实集团数字化转型战略的重要抓手，其最大的能力特点是将业务数据化、数据资产化、资产服务化、服务业务化，形成数据管理闭环。随着财务公司业务增长，数据源和数据量也快速增加，数据平台可支持横向扩展，从而提高内部运营效率、降低运营成本。通过数据平台建设，可有效提升公司数据采集能力、数据模型能力、数据资产管理能力、统一数据服务能力、数据应用等能力，助力公司挖掘数据价值，大幅降低公司数据资产的管理成本，快速响应多变的业务需求，全面服务公司运营管理，打造企业数字化和数据智能化，赋能业务发展。
二、实施内容
1、规划先进的大数据管理平台技术架构。通过引入业内先进的大数据体系结构实现分布式、弹性可扩展、高可用性企业大数据中心，形成公司大数据私有云平台
2、搭建大数据基础数据平台。一是建立数据治理框架和制度；二是建立分层管理的数据体系结构形成大数据基础数据；三是聚合内部数据和外部数据，建立先进、成熟的金融数据模型；四是应用主流大数据平台厂商商业化的Hadoop平台，搭建基于分布式存储和并行计算技术的大数据基础平台
3、建设统一数据网关。数据网关满足大数据管理平台与外部系统、内部应用系统之间的交换需求，同时实现实时信息服务能力，对接核心系统、渠道系统等，转变大数据管理平台对外服务的模式。
4、大数据应用建设。基于大数据平台搭建公司统一调度管理系统、统一报表系统、管理驾驶舱和数据大屏系统。</t>
  </si>
  <si>
    <t>redhat7</t>
  </si>
  <si>
    <t>CDH</t>
  </si>
  <si>
    <t>帆软</t>
  </si>
  <si>
    <t>GuassDB 200</t>
  </si>
  <si>
    <t>兴业数金</t>
  </si>
  <si>
    <t>资金业务部</t>
  </si>
  <si>
    <t>金融业务5A部</t>
  </si>
  <si>
    <t>数据交换平台</t>
  </si>
  <si>
    <t>oracle</t>
  </si>
  <si>
    <t>长亮科技数据交换平台v2.0</t>
  </si>
  <si>
    <t>weblogic</t>
  </si>
  <si>
    <t>东北</t>
  </si>
  <si>
    <t>长亮科技企业级调度平台v2.0</t>
  </si>
  <si>
    <t>长亮科技数据开发平台v2.0</t>
  </si>
  <si>
    <t>大连银行</t>
  </si>
  <si>
    <t>金融业务4D部</t>
  </si>
  <si>
    <t>宁波银行</t>
  </si>
  <si>
    <t>风险集市</t>
  </si>
  <si>
    <t>impala</t>
  </si>
  <si>
    <t>营销业务部</t>
  </si>
  <si>
    <t>k8s</t>
  </si>
  <si>
    <t>张玉庆</t>
  </si>
  <si>
    <t>数据模型</t>
  </si>
  <si>
    <t>麒麟V10</t>
  </si>
  <si>
    <t>2023.1-2023.12</t>
  </si>
  <si>
    <t>需求分析</t>
  </si>
  <si>
    <t>宇信</t>
  </si>
  <si>
    <t>jmp</t>
  </si>
  <si>
    <t>redhat</t>
  </si>
  <si>
    <t>Hadoop</t>
  </si>
  <si>
    <t>19C</t>
  </si>
  <si>
    <t>金融业务7C部</t>
  </si>
  <si>
    <t>=SUBSTITUTE(N4&amp;IF(ISBLANK(N4),"",",")&amp;O4&amp;IF(ISBLANK(O4),"",",")&amp;P4&amp;IF(ISBLANK(P4),"",",")&amp;Q4&amp;IF(ISBLANK(Q4),"",",")&amp;R4&amp;IF(ISBLANK(R4),"",",")&amp;S4&amp;IF(ISBLANK(S4),"",",")&amp;T4&amp;IF(ISBLANK(T4),"",",")&amp;U4&amp;IF(ISBLANK(U4),"",",")&amp;V4&amp;IF(ISBLANK(V4),"",",")&amp;W4&amp;IF(ISBLANK(W4),"",",")&amp;X4&amp;IF(ISBLANK(X4),"",",")&amp;Y4&amp;IF(ISBLANK(Y4),"",",")&amp;Z4&amp;IF(ISBLANK(Z4),"",",")&amp;AA4,"/,","")</t>
    <phoneticPr fontId="8" type="noConversion"/>
  </si>
  <si>
    <t>西南</t>
  </si>
  <si>
    <t>虚拟机</t>
  </si>
  <si>
    <t>300-400</t>
  </si>
  <si>
    <t>股份制银行</t>
  </si>
  <si>
    <t>长亮科技数据交换平台</t>
  </si>
  <si>
    <t>Mysql</t>
  </si>
  <si>
    <t>长亮科技</t>
  </si>
  <si>
    <t>数据架构咨询规划，数据模型设计</t>
  </si>
  <si>
    <t>大数据</t>
  </si>
  <si>
    <t>CDP</t>
  </si>
  <si>
    <t>ODS</t>
  </si>
  <si>
    <t>樊伟</t>
  </si>
  <si>
    <t>数据资产管理2部</t>
  </si>
  <si>
    <t>数据交换平台，调度平台，数据补录平台</t>
  </si>
  <si>
    <t>数据服务平台</t>
  </si>
  <si>
    <t>帆软BI</t>
  </si>
  <si>
    <t>2023.11-2024.12</t>
  </si>
  <si>
    <t>先数</t>
  </si>
  <si>
    <t>外部数据管理平台</t>
  </si>
  <si>
    <t>营销业务3部</t>
  </si>
  <si>
    <t>长亮科技数据交换平台v5.0</t>
  </si>
  <si>
    <t>2023.07-2024.02</t>
  </si>
  <si>
    <t>吴静根</t>
  </si>
  <si>
    <t>信用卡数据集市</t>
  </si>
  <si>
    <t>卡经管，app</t>
  </si>
  <si>
    <t>数据仓库，大数据平台</t>
  </si>
  <si>
    <t>12C</t>
  </si>
  <si>
    <t>金融业务6C部</t>
  </si>
  <si>
    <t>恒丰银行</t>
  </si>
  <si>
    <t>金融业务9A部</t>
  </si>
  <si>
    <t>FineBI</t>
  </si>
  <si>
    <t>Moia</t>
  </si>
  <si>
    <t>王晋</t>
  </si>
  <si>
    <t>指标管理平台</t>
  </si>
  <si>
    <t>Gbase</t>
  </si>
  <si>
    <t>华为</t>
  </si>
  <si>
    <t>关系型数据库</t>
  </si>
  <si>
    <t>金融业务四部</t>
  </si>
  <si>
    <t>西北</t>
  </si>
  <si>
    <t>数据湖</t>
  </si>
  <si>
    <t>2023.12-2024.02</t>
  </si>
  <si>
    <t>齐商银行</t>
  </si>
  <si>
    <t>上海农商行2024年碳排放交易系统等C模式服务项目（第一批）-风险加权资产计量系统二代框架协议（2024.1.26-2025.6.30）</t>
  </si>
  <si>
    <t>上海农商</t>
  </si>
  <si>
    <t>金融科技部</t>
  </si>
  <si>
    <t>尹志鹏</t>
  </si>
  <si>
    <t>风险加权资产计量系统（RWA）产品</t>
  </si>
  <si>
    <t xml:space="preserve">一、项目背景
风险加权资产计量系统是按照 《商业银行资本管理办法（试行）》对银行资产进行风险暴露分类，对其风险加权资产进行量化计量，提供数据管理、整合三大风险（信用风险、市场风险、操作风险）风险加权资产，定期生成监管和内部管理需要的报表，实现下载查看风险加权资产报送和管理报表。为上海农商银行打造一个完整的内部资本管理节约化经营平台，提高风险加权资产管理能力和精细化管理水平，拓展商业银行风险加权资产计量结果的应用。
二、实施内容
1.乙方为甲方已有的风险加权资产计量系统二代提供需求分析、设计、开发、调试、试运行等工作，还包括乙方对甲方人员培训、技术支持和售后服务。
2.乙方在服务过程中，需严格遵守甲方事先告知乙方的各项工作规章制度，违纪行为纳入考核。
</t>
  </si>
  <si>
    <t>2024.04-2024.12</t>
  </si>
  <si>
    <t>孙麟添13282758110</t>
  </si>
  <si>
    <t>ORACLE 19C</t>
  </si>
  <si>
    <t>信用风险集市</t>
  </si>
  <si>
    <t>本公司</t>
  </si>
  <si>
    <t>上海银行2024-2026年度B模式数据开发领域人力外包项目</t>
  </si>
  <si>
    <t>800-900</t>
  </si>
  <si>
    <t>上海银行</t>
  </si>
  <si>
    <t>金融业务12A部</t>
  </si>
  <si>
    <t>楚江江</t>
  </si>
  <si>
    <t>一、	项目背景
应对上海银行核心升级、数据仓库整合层重构等重大项目，及日常上海银行数据仓库等相关数据领域系统的迭代运维
二、实施内容
1、数据仓库配合核心升级进行改造；
2、配套数据仓库整合层模型重构提供业务规则和数据应用规则的梳理；
3、数据仓库、数据服务中心等日常运维迭代</t>
  </si>
  <si>
    <t>2023.03-2026.12</t>
  </si>
  <si>
    <t>顾恺</t>
  </si>
  <si>
    <t>光大银行零售业务数据集市系统-个贷数据集市模块升级项目</t>
  </si>
  <si>
    <t>光大银行</t>
  </si>
  <si>
    <t>金融业务8c部</t>
  </si>
  <si>
    <t>刘鑫钰</t>
  </si>
  <si>
    <t>零售集市</t>
  </si>
  <si>
    <t>个贷经营分析</t>
  </si>
  <si>
    <t>一、	项目背景
    个贷数据集市建成于2009年，是基于个贷风险管理系统的数据源建立的数据集市，与个贷风险管理系统、决策引擎系统一起，为个贷服务的发展提供全面的系统服务，主要承担了基于个贷数据的各类业务指标加工和T+1 类的多维度报表汇总，为个贷全面管理、产品创新、客户拓展、业务运营等提供各类数据服务。
    为适应零售信贷“标准化、集约化、线上化、智能化、敏捷化”五化转型，推动零售信贷业务高质量和跨越式发展，光大银行于 2020 年12 月29 日正式启动“新一代零售信贷平台”（NRCP）系统建设。鉴于新一代零售信贷平台采用了新的系统架构和数据表结构，对个贷数据集市系统带来相关的升级改造需求，一方面数据接口和数据库表结构发生变化和调整，个贷数据集市需重新设计底层数据模型，另一方面对数据集市提出了报表整合及历史数据迁移需求，个贷数据集市系统面临升级和再造。
二、实施内容
    鉴于新一代零售信贷平台建设对个贷数据集市系统带来相关的升级改造需求，个贷数据集市面临升级和再造。整合新老个贷系统数据，提供产品管理、风险管理、项目管理、运营监控、合作方管理、个贷客户服务等业务所需的报表，完成现有个贷系统报表迁移，保持规模、投放、收回、关注、不良等关键指标的统计口径一致，数据准确、报表完整，能够基于产品、机构、项目等维度进行完整的汇总展示，能够提供支撑个贷业务发展跨越、提高信贷资产质量、有序化解不良、合作渠道拓展、全流程运营监控、客户经理展业等所需的信息服务。
    1、数据模型重建：新一代零售信贷平台采用了新的系统架构和数据表结构，并同时考虑原个贷系统与新一代零售信贷平台并行期间数据整合情况，分析源系统重构前后接口变化，集市需整体重新设计基础层、应用层的数据模型，并进行数据模型脚本的开发、测试，以及后续的数据核对等工作。
    2、历史数据迁移需求：基础层、报表层历史数据迁移方案设计、迁移程序开发、测试及迁移后数据核对。</t>
  </si>
  <si>
    <t>2024.9-2025.9</t>
  </si>
  <si>
    <t>宋晓雨010-58224926</t>
  </si>
  <si>
    <t>automation</t>
  </si>
  <si>
    <t>行里自研ead</t>
  </si>
  <si>
    <t>行里自有数据交换平台</t>
  </si>
  <si>
    <t>恩核产品</t>
  </si>
  <si>
    <t>浪潮</t>
  </si>
  <si>
    <t>SUSE linux</t>
  </si>
  <si>
    <t>个贷风险管理系统，新一代零售信贷平台</t>
  </si>
  <si>
    <t>数据仓库、大数据平台</t>
  </si>
  <si>
    <t>中国光大银行零售业务数据集市系统2022年应用升级项目软件开发合同</t>
  </si>
  <si>
    <t>&gt;=1000</t>
  </si>
  <si>
    <t>陈佐</t>
  </si>
  <si>
    <t>零售经营分析系统</t>
  </si>
  <si>
    <t>一、	项目背景
随着甲方零售业务的发展，为满足经营决策和日常管理中对统计分析数据的需要，甲方建立了统一客户分析数据集市，支持零售客户管理工作的开展,实现需求分析、代码开发和系统部署的集中管理，提高数据准确性和及时性,提升业务服务满意度。同时为实现一流财富管理银行的目标，实现同业对标进位，2020年5月总行正式成立私人银行一级部，基于统一客户分析系统建设私行业务模块。通过零售业务数据集市项目维护及升级建设，提升数据应用及私行业务的服务能力，满足零售业务综合经营及客户管理中的数据在私行客户经营、渠道拓展、客户管理及营销、产品创新、产品销售、资产保全等零售业务领域，提供高效准确的数据支持
二、实施内容
零售数据集市升级项目的工作内容需涵盖现有统一客户分析平台（ECIS)业务需求和范围，并基于现有零售集市主体架构，对新的业务和模块进行整合、优化以及升级工作。日前本系统主要涵盖零售与财富管理部、私人银行部两个业务部门的业务数据服务功能范畴，在建设过程中，基于现有系统持续做好业务服务和技术支持，保持业务服务的连续性，工作内容涉及新增需求、优化改造需求、系统迁移改造支持需求、数据查询需求、接口维护新增及变更需求、临时数据查询需求等内容；系统现有工作内容包含以下几方面教据模型优化、上下游接口新增及变更，报表新增及优化、多维灵活查询.功能维护和升级、准实时模块相关功能优化升级，其他技术方案升级优法实能。临时效据服务及数据文打等。</t>
  </si>
  <si>
    <t>2024.07-2025.07</t>
  </si>
  <si>
    <t>贾默010-58224929</t>
  </si>
  <si>
    <t>对私客户关系管理系统</t>
  </si>
  <si>
    <t>中国民生银行股份有限公司信用卡中心数据中台客群细分模块功能开发项目</t>
  </si>
  <si>
    <t>民生银行</t>
  </si>
  <si>
    <t>营销业务1部</t>
  </si>
  <si>
    <t>李东全</t>
  </si>
  <si>
    <t xml:space="preserve">
一、项目背景
客户经营策略已初步实现通过数据中台推送活动数据，在营销系统配置客户权益，由消息中心分发至营销渠道的系统间联动。数据中台客群细分模块除经营活动策略决策外，还承接活动过程中的相关指标监测、可视化等功能。为进一步完善客群细分模块功能，数据中台客群细分模块新增消息管理、策略比对、策略预演、活动看板等功能，实现客群经营过程中策略的预演、上线、活动数据的实时监测、活动后数据回流至数仓的完整闭环。
二、实施内容
1.数据中台客群细分模块首页管理功能。业务人员在登录数据中台客群细分模块后，可在首页查看活动概览、系统公告、待办事项等信息。首页支持业务人员查看自己的流程待办事项、公告信息、活动效果、创建与收藏的名单、创建与收藏的活动五大模块功能展示。
2.数据中台客群细分模块活动管理模块优化。数据中台客群细分模块活动管理板块新增活动策略比对、活动策略预演、当前活动效果实时监测、以及根据活动指标可视化活动效果功能。以方便业务人员在活动上线前、活动进行中对活动相关内容进一步的确认及跟进。
3.营销数据回流至数仓。营销数据包括活动策略决策时的变量值、客户相关信息、活动名称、邀约客户、达标客户、活动权益等相关数据，需要回流至数仓，用于后续活动评估分析。</t>
  </si>
  <si>
    <t>2023.02-2024.05</t>
  </si>
  <si>
    <t>运维中</t>
  </si>
  <si>
    <t>王群 18910584120</t>
  </si>
  <si>
    <t>【长亮自研】监管报送，管理驾驶舱</t>
  </si>
  <si>
    <t>九江银行分风险管理工作台项目</t>
  </si>
  <si>
    <t>九江银行</t>
  </si>
  <si>
    <t>金融业务2C部</t>
  </si>
  <si>
    <t>数据总部</t>
  </si>
  <si>
    <t>周密</t>
  </si>
  <si>
    <t>数据仓库，历史数据平台，ODS</t>
  </si>
  <si>
    <t>对公CRM，对私CRM</t>
  </si>
  <si>
    <t>示例：
一、	项目背景
风险管理工作台是九江银行对于贷款的业务进行每日风险预警以及提醒；包含PC端-风象台和手机端-风铃鸟，风象台展示贷款客户以及业务的前世今生，协助行领导以及客户经理进行风险预警；风铃鸟主要是通过企业微信推送还款、逾期、白名单、预警、押品、放款、催收等。
二、实施内容
1.配和业务需求开发风险相关的需求。
2.下游通过达梦数据库进行加工，开发对应的perl脚本。
3.通过公司指标平台加工相应的风险指标，比如：集团授信规模、集团数量、成员数量、表内信用风险、不良资产规模、剪刀差规模、贷款规模、不良贷款规模、现金收回规模、重组转换贷款规模、核销贷款规模、还原后不良贷款规模、催回贷款规模、裂变贷款规模等风险指标。</t>
  </si>
  <si>
    <t>2024.01-2028.01</t>
  </si>
  <si>
    <t>储修磊14779541458</t>
  </si>
  <si>
    <t>兴业数金企业主题平台配套绿色金融业务系统项目</t>
  </si>
  <si>
    <t>钟鼎</t>
  </si>
  <si>
    <t>一、	项目背景
兴业数金企业主题平台属于数据中台对于企金领域搭建的平台，针对绿色金融业务系统的升级改造，需要提供数据上的支撑
二、实施内容
1、企业主题平台日常迭代需求开发；
2、配套绿色金融业务系统进行数据模型的升级改造</t>
  </si>
  <si>
    <t>2024.06-2025.06</t>
  </si>
  <si>
    <t>张浩显</t>
  </si>
  <si>
    <t>兴业数金公司境外数据处理系统第4期迭代研发项目现场技术服务外包合同（2024.1.26-2025.1.26）-2024年结算单</t>
  </si>
  <si>
    <t>王林</t>
  </si>
  <si>
    <t>数据仓库，数仓迁移</t>
  </si>
  <si>
    <t>元数据管理模块，数据资产管理模块，数据模型管理模块</t>
  </si>
  <si>
    <t>元数据，数据资产盘点，数据模型</t>
  </si>
  <si>
    <t>零售集市，对公集市，同业集市，风险集市，报表集市，监管集市，分行集市，财务集市，公共风险集市，绩效考核集市，审计集市，网贷集市</t>
  </si>
  <si>
    <t>一、	项目背景
随着境外分行业务系统的不断增多，境外系统间的数据采集、数据加工和数据交换的需求也不断增加。本系统建成后，境外各原有系统均可以通过本系统获取需要的数据，而当有新增业务需求时，可以快速的从本系统获取相关数据，加快新业务需求的建设。
二、实施内容
1、搭建境外数据处理平台，满足境外系统间、境外和境内系统间、总行系统与境外分行系统间的数据采集、数据加工、数据分发、作业调度、管理和监控等需求。</t>
  </si>
  <si>
    <t>2024.01-2025.01</t>
  </si>
  <si>
    <t>曾宪彬13560737553</t>
  </si>
  <si>
    <t>12.2.0.1</t>
  </si>
  <si>
    <t>兴业batch调度</t>
  </si>
  <si>
    <t>edip平台</t>
  </si>
  <si>
    <t>opengauss</t>
  </si>
  <si>
    <t>资源申请</t>
  </si>
  <si>
    <t>长亮数据</t>
  </si>
  <si>
    <t>广西北部湾银行股份有限公司湖仓一体大数据平台实施项目技术开发合同</t>
  </si>
  <si>
    <t>北部湾银行</t>
  </si>
  <si>
    <t>金融业务10D部</t>
  </si>
  <si>
    <t>邹智</t>
  </si>
  <si>
    <t>前一个合同的设计项目包含架构、模型、管理规范，实施项目不包含咨询</t>
  </si>
  <si>
    <t>数据湖、离线数据仓库、实时数据仓库</t>
  </si>
  <si>
    <t>腾讯的wedata（客户自己直采）</t>
  </si>
  <si>
    <t>wedata的数据服务模块</t>
  </si>
  <si>
    <t>示例：
一、	项目背景
基于湖仓一体大数据平台设计咨询成果，建设实施湖仓一体大数据平台项目，实现基于Hadoop大数据平台、MPP数据库、存算分离、湖仓一体、流批一体、一套数据多个引擎等先进理念和技术在广西北部湾银行的实践落地，实现行内与行外数据、结构化与非机构化数据、批量与实时数据统一集成管理、分析挖掘，缩短数据加工路径，提升数据应用及服务响应效率，全面支撑各类数据应用场景，加速数据价值变现。
二、实施内容
1、数据架构落地和优化
基于广西北部湾银行湖仓一体大数据平台设计咨询成果，在实施项目中进行数据架构落地和持续优化。
1)数据架构落地
基于数据架构咨询成果，充分理解各部分功能定位和关联关系，搭建起广西北部湾银行湖仓一体大数据平台的整体开发和服务体系，在平台技术层面实现实验区、验证区和生产区的全面落地，在功能体系层面从数据采集、数据整合、数据服务、数据管理的一体化开发、服务和管理体系全面落地。
2)数据架构整体优化
在项目建设过程中，基于现实情况，持续优化湖仓一体大数据平台数据架构和管理规范内容，包括功能架构、逻辑架构、数据流向、技术架构、物理架构以及相关管理规范等。
2、数据采集入湖
1)批量数据采集入湖
实现125个系统约15000-20000张数据表的的批量数据采集入湖，包括表结构设计和初始化，数据采集作业和调度作业的开发、测试及投产和运行。
2)历史数据迁移入湖。
将北部湾银行老数据仓库中约5000张表迁移到数据湖中，实现数据湖的历史数据存储。
(1)历史数据铺底要求。老数据仓库数据历史数据作为批量数据采集入湖的对应表的铺底数据进行初始化。
(2)数据转换要求。由于新建数据湖要求贴源存储，对于存量数据仓库中已进行贴源标准化的历史数据进行还原贴源数据处理后再作为铺底数据存储入湖。
3)实时数据采集入湖。
基于实时数据采集工具，实现为满足10个实时数据需求场景的数据表实时采集入湖。采集频率依据情况可分为秒级和分钟级。
4)外部数据入湖。
对接外部数据管控平台，实现外部数据的历史存储。
3、数据整合加工
数据整合加工包括离线数据仓库整合加工和实时数据仓库整合加工需求。
1)离线数据仓库整合加工
基于设计阶段的成果完成开发不少于120张基于维度建模设计的数据模型表（已完成模型表结构设计和简要数据关系映射），在数据开发工具上进行数据加工作业和调度作业开发，以及完成测试、投产及运行。
按照数据加工复杂度进行区分，高难度数据模型表（至少5张以上表关联，逻辑关系复杂）约占50%，中难度数据模型表（2-4张表关联，逻辑关系略显复杂）约占35%，低难度数据模型表（1张表直取，逻辑关系简单）约占15%。
离线数据仓库的数据初始化到2020年7月份的数据。在初始化过程中，由于新旧系统切换，需要开发多套迁移逻辑。
2)实时数据仓库整合加工
为满足10个实时数据需求场景实现实时数据整合加工，包括但不限于机构级实时存款余额计算、机构级实时贷款余额计算、机构级交易级实时大额流入流出、机构级实时开卡计算、机构级客户级实时开户数据、机构级客户级实时签约数据、交易级实时理财请求流水数据、账户级账户余额明细数据和交易级交易明细计算等等（设计阶段提供数据模型设计以及简要数据映射关系）。
4、数据服务
基于下游应用需要，结合广西北部湾银行现有工具平台，为下游提供数据文件服务和数据API服务等数据服务，满足下游数据应用所需的数据应用支持。
5、数据验证
在并行期内，持续进行数据仓库和数据湖数据验证，确保数据准确性。
6、数据治理落地
在湖仓一体大数据平台落地广西北部湾银行数据治理管理要求，包括但不限于数据标准、元数据、数据质量、数据安全、数据生命周期和数据资产管理等管理内容。</t>
  </si>
  <si>
    <t>2024.02-2025.02</t>
  </si>
  <si>
    <t>林常毅17707711221</t>
  </si>
  <si>
    <t>腾讯TBDS</t>
  </si>
  <si>
    <t>40个节点(TM节点3，Master节点3，Core存储节点17，TCSWorker-TBDS云原生计算节点3个，TCSWorker-机构区tbds节点3个，TCSWorker-ES集群节点3个，TCSWorker-wedata执行资源组节点01，TCSWorker-wedata流计算节点3个，tcs-master节点3个，mapping+静态脱敏节点1个)</t>
  </si>
  <si>
    <t>腾讯云wedata</t>
  </si>
  <si>
    <t xml:space="preserve">H3C Uniserver R 4930 G5机箱，海光5380CPU ，海光7258CPU </t>
  </si>
  <si>
    <t>麒麟V10 sp1</t>
  </si>
  <si>
    <t>北银理财TOS平台一风险模型计量引擎项目</t>
  </si>
  <si>
    <t>北银理财</t>
  </si>
  <si>
    <t>资金业务2部</t>
  </si>
  <si>
    <t>宋军磊</t>
  </si>
  <si>
    <t>示例：
一、	项目背景
根据北银理财TOS系统平台的整体规划安排，风险管理部亟需建设投资组合与风险管理平台（风险模型计量引擎），为投资管理与风险管理过程中各类风险指标的事前试算与事后统计提供模型与算力的支持。
在系统关联性方面，投资组合与风险管理平台（风险模型计量引擎）与规划建设中的投资组合与风险管理平台（风险底座）关系密切。前者中的各个子引擎模块将以插件的形式嵌入后者，后者作为前端系统将实现模型参数输入以及计算结果的展示的功能。
二、实施内容
1、将数据库头寸生成上行xml文件，并完成与RM的交互
2、将返回的报表xml文件解析进入数据库</t>
  </si>
  <si>
    <t>2024.04-2024.09</t>
  </si>
  <si>
    <t>李秋影13691439392</t>
  </si>
  <si>
    <t>clickhouse</t>
  </si>
  <si>
    <t>22.3.65</t>
  </si>
  <si>
    <t>controlM</t>
  </si>
  <si>
    <t>南京银行南京分行数据门户现场服务</t>
  </si>
  <si>
    <t>南京银行南京分行</t>
  </si>
  <si>
    <t>银行业务5部</t>
  </si>
  <si>
    <t>胡华兵</t>
  </si>
  <si>
    <t>零售集市，对公集市，报表集市，分行集市，绩效考核集市</t>
  </si>
  <si>
    <t>指标库、标签库</t>
  </si>
  <si>
    <t>统一数据门户，报表平台，自助分析，灵活查询</t>
  </si>
  <si>
    <t>示例：
一、	项目背景
南京银行南京分行数据门户，经前期调研发现，南京分行各部室、经营机构均设有数据统计分析专岗或兼岗人员，数据统计分析工作量大、效率低，且数据泄露风险较高。
二、实施内容
1、基于总行数据仓库，加工南京分行特色数据集市接口，通过交换平台同步到分行门户，分行门户基于总行数据展现分行特色应用。
2、开发分行首页，考核看板，数据应用，业务报表4个模块。
3、各模块下基于条线，开发各条线的业务需求，如考核看板下有公司板块，零售板块，小企业板块，科文板块，金融市场板块，运营板块，投行板块。
4、各板块下基于不同需求开发不同功能，如零售板块下有综合类，私行类，资产类，零基类，财富类，生意家等。</t>
  </si>
  <si>
    <t>2024.03-2025.02</t>
  </si>
  <si>
    <t>朱挺13951779598</t>
  </si>
  <si>
    <t>19.0.0</t>
  </si>
  <si>
    <t>CTM</t>
  </si>
  <si>
    <t>大连银行报表与数据自助分析平台、文件传输平台、外部数据系统2023年开发项目</t>
  </si>
  <si>
    <t>朱丛业</t>
  </si>
  <si>
    <t>外部数据管理平台，数据交换平台</t>
  </si>
  <si>
    <t>oracle-11.2.0.4.0</t>
  </si>
  <si>
    <t xml:space="preserve">示例：
一、	项目背景
本项目的主要任务涵盖了报表与数据自助分析平台、文件传输平台以及外部数据管理系统的开发优化和线上运维工作。长亮科技将致力于实现报表与数据自助分析平台、文件传输平台和外部数据管理系统项目的具体需求，并不断优化已有功能，以解决大连银行在实际应用中遇到的问题。长亮科技的目标是确保数据平台建设的可持续发展，逐步完善并充分发挥大数据的有效价值。与大连银行密切合作，致力于实现数据运营的目标，推动业务数据化，同时在数据架构和数据应用方面提升数据的服务与管控能力
二、实施内容
1、报表与数据自助分析平台内容包含：前台“同步”功能优化、前台“我的收藏”功能优化、默认展示页优化：进入“我的报表”、配合安全性排查及整改、事件处理、配合帆软日常问题的查询。
2、文件传输平台内容包含：针对传输失败、传输异常的情况，增加告警提醒功能、传输失败任务及运行中的任务重新运行功能优化、订阅监控无法按照任务名查询的bug进行优化、文件传输平台传输任务的特殊业务上线与运维事件处理。
3、外部数据系统内容包含：发票贷、房产评级、北塔基金、上数金科社保等数据接入、已接入外部数据根据账单规则开发账单功能、配合鲲鹏E贷大连公积金客群公积金数据测试、外部数据日常维护，事件查询处理，入特殊业务处理
</t>
  </si>
  <si>
    <t>周庆坤-15642355350</t>
  </si>
  <si>
    <t>oracle-11.2.0.4.0 production</t>
  </si>
  <si>
    <t>文件传输平台</t>
  </si>
  <si>
    <t xml:space="preserve">linux </t>
  </si>
  <si>
    <t>red hat enterprise linux server 7.3</t>
  </si>
  <si>
    <t>【长亮自研】外部数据管理，文件传输</t>
  </si>
  <si>
    <t>行内第三方采购外部数据文件，行内各系统文件交换</t>
  </si>
  <si>
    <t>长亮开发</t>
  </si>
  <si>
    <t>宁波银行信用卡集市经营数据模型建设</t>
  </si>
  <si>
    <t>示例：
一、	项目背景
对现有信用卡集市项目进行数据模型优化，帮助业务在经营、个贷、报表、卡经管等数据支持。
二、实施内容
经营信息专题
1）电销端信用卡及白领通 E 网申中断，团办开卡，激活模型建设，共计约 4 张表。
2）信用卡支付宝，微信，抖音等三方全渠道签约口径整理，补充 和完善现有标签模型模块，共 4 张表；信用卡行内电子渠道绑定数据整理并优化卡片加挂模型，共 20 个标签。
3）新增信用客户各维度的额度统计、额度使用率统计、临固额度调整统计模型，共 10 张表。
4）新增信用卡多维度消费，取现，分期等交易统计类标签，信用卡 MOB 相关动卡类标签，信用卡账单还款类标签，共 50 个。
1.2 个贷信息专题
1）完善白领通 E 产品申请、审批、授信、激活、核销等全流程的统计数据，共 5 张表。
2）承接白领通 E 尊享、 白领通 E 同步配发、 白领通 E 独立配发以及对应目标客群等标签，共 10 个。
3）新增借据级、授信级、客户级白领通 E 产品使用统计，其中包括提款，还款，提前还款等，共 3 张表。
1.3 报表专题
1）观远平台新增资产管理系统报表 3 张，。
2）新增客服中心语言来电、坐席、电核等报表 19 张。
1.4 卡经管数据专题
1）应卡经管客筛需求，维护客户级和卡片级标签宽表，共计约100 个标签
2）行员现金分期开关，联名卡达标权益等名单优化推送，涉及表3 张。</t>
  </si>
  <si>
    <t>2024.4-2024.10</t>
  </si>
  <si>
    <t>叶坚挺13167219612</t>
  </si>
  <si>
    <t>宁波银行远程风控自营渠道策略新增及优化项目</t>
  </si>
  <si>
    <t>风险业务4部</t>
  </si>
  <si>
    <t>左万山</t>
  </si>
  <si>
    <t>一、项目背景
风控决策系统是银行业务中至关重要的一环，旨在通过对客户信用、资产负债情况等进行全面评估和监控，降低信用风险、市场风险等各类风险，
保障银行的稳健经营和客户资金安全。其最大的能力特点是智能化决策、多维度评估、个性化风控、自动化流程、合规性和透明度、持续优化。
随着金融市场的复杂化和创新性金融产品的不断涌现，本项目旨在开发一套智能化的银行风险控制系统，结合银行的内部数据和外部数据源，实现对风险的精准识别，
提高风控效率和准确性，增强市场竞争力，有效规避各类风险，确保金融体系的稳定和健康发展。
二、实施内容
1.数据采集与清洗：收集银行内部和外部数据，包括客户信息、交易记录、市场数据等。对数据进行清洗和预处理，确保数据质量和完整性，为后续分析建模做准备。
2.数据分析与建模：对数据进行深入分析，发现潜在的风险因素和模式。建立风险评估模型，包括信用评分模型、欺诈检测模型等，用于预测和识别风险。
3.风险决策与控制：建立风险决策流程根据模型预测结果和实时监控信息，制定相应的风险控制策略。实施风险控制措施，有效降低潜在风险。
5.技术支持与系统集成：开发和部署风险控制系统，确保系统稳定性和安全性。与银行现有系统进行集成，实现数据交换和信息共享，提高系统的效益和全面性。
6.培训与测试：对风险控制人员进行培训，使其熟悉系统操作流程和风险管理策略。进行系统测试和模拟演练，验证系统的可靠性和有效性，确保在实际应用中能够正常运行。</t>
  </si>
  <si>
    <t>刘文锋18845120517</t>
  </si>
  <si>
    <t>宁银消金数据中台-风险集市（2024年一季度）项目软件开发合同</t>
  </si>
  <si>
    <t>宁银消金</t>
  </si>
  <si>
    <t>金融业务5C部</t>
  </si>
  <si>
    <t>设计仓库</t>
  </si>
  <si>
    <t>行为指标，征信指标</t>
  </si>
  <si>
    <t xml:space="preserve">
一、 项目背景
消金数据中台为了支撑消金整个业务系统发展
二、实施内容
消金风险集市模型和指标实施，包括行为指标，征信指标，实时决策的相关接口</t>
  </si>
  <si>
    <t>2024.02-2024.04</t>
  </si>
  <si>
    <t>夏宇1586185039</t>
  </si>
  <si>
    <t>cdp</t>
  </si>
  <si>
    <t>cdp7</t>
  </si>
  <si>
    <t>数据总线</t>
  </si>
  <si>
    <t>intel</t>
  </si>
  <si>
    <t>网贷\集中作业平台\实时决策</t>
  </si>
  <si>
    <t>db2</t>
  </si>
  <si>
    <t>业务系统</t>
  </si>
  <si>
    <t>信贷存量对公、同业客户数据一致性治理项目</t>
  </si>
  <si>
    <t>广东华兴银行</t>
  </si>
  <si>
    <t>彭有志</t>
  </si>
  <si>
    <t>数据质量</t>
  </si>
  <si>
    <t>示例：
一、	项目背景
分析企业级数据仓库中CRSS系统中存量对公、同业客户与ECIF的数据差异，制定解决方案，解决新一代上线前CRSS系统中存量对公、同业客户与ECIF数据不一致的问题。
二、实施内容
本需求主要通过信贷系统（CRSS）中的对公、同业存量对公、同业客户信息与ECIF客户信息一致性的治理，从而有效解决客户信息管理不统一、报表统计数据不统一、采集与报送信息不统一等问题。
（1）细化规则调研清单。梳理及细化标志类、口径类、系统默认值等的规则调研清单。
（2）第一批差异明细数据提取。提取差异较小类差异明细数据，供业务部门进行差异确认。
（3）差异问题分析。差异为重点关注类、系统默认值等情况的差异分析及方案调整。
（4）规则处理建议。标志类、口径类、系统默认值等的规则确认。
（5）重点关注主控/覆盖原则沟通。有业务类，针对监管要求、业务关注的差异项重点沟通主控系统、覆盖原则；无业务类，由业务部门评估是否按现有数仓整合原则执行。
（6）规则/整改方案评审，推动解决。梳理并推动解决、ECIF、信贷、数仓中客户数据整合不一致问题。
（7）非重点关注字段覆盖原则沟通。有业务类，针对监管要求、业务关注的差异项重点沟通覆盖原则；无业务类，由业务部门评估是否按现有数仓整合原则执行。
（8）系统处理工作。ECIF、信贷及企业级数据仓库的差异处理。
（9）其他批次差异明细数据提取。规则处理类、重点关注及非重点关注类差异明细数据提取。
（10）规则/整改方案评审。组织会议进行标志类、口径类等规则及整改方案的评审。
（11）规则/差异沟通推动解决。梳理并推动解决、ECIF、信贷、数仓中客户数据整合不一致问题。
（12）在新一代项目投产前，持续开展一致性的整改工作。</t>
  </si>
  <si>
    <t>2022.08-2023.04</t>
  </si>
  <si>
    <t>李翠翠 13246548323</t>
  </si>
  <si>
    <t>广东华兴银行反洗钱数据治理项目</t>
  </si>
  <si>
    <t>华兴银行</t>
  </si>
  <si>
    <t>一、	项目背景
广东华兴银行组织开展了反洗钱迎检自查（含机构洗钱风险自评估），共计发现360项数据类质量问题；为确实提升华兴银行反洗钱数据质量，满足监管报送要求，开展反洗钱数据治理项目对360个问题开展治理，推进源头系统对问题开展整改。
二、实施内容
第一阶段：优先治理119项反洗钱基础数据的数据质量问题，主要包括客户信息以及机构信息等，并理顺反洗钱数据质量整改流程机制；
第二阶段：在第一阶段的基础上，主要解决反洗钱系统涉及的账户、核心交易流水数据，预估涉及159项数据质量问题，以及协助行里完善优化反洗钱系统及相关系统功能；
第三阶段：在前两阶段的基础上，主要解决因基础数据、核心交易流水数据获取的监管报送、风险评级类结果的数据质量问题；非核心交易流水数据的治理以及前两阶段的数据质量问题查缺补漏，预估涉及82项数据质量问题。</t>
  </si>
  <si>
    <t>谭德选 18665562605</t>
  </si>
  <si>
    <t>恒丰银行一表通</t>
  </si>
  <si>
    <t>刘晓林</t>
  </si>
  <si>
    <t>示例：
一、	项目背景
一表通报送是国家金融监督管理总局研究搭建的一套完整的明细级、标准化的金融监管数据体系。要求在银行端建设监管数据可信区，构建面向银行的监管统计数据采集、加工、校验、应用流程，探索实现一个高效安全用数环境，满足监管对数据报送规范性、及时性和灵活性及基础环境建设的要求。
一表通试点建设工作旨在改革银行监管数据采集、存储、管理和应用体系，从底层业务明细数据按照统一加工逻辑，汇聚生成财务和监管指标，实现从监管报表到账户和交易数据的穿透通过重构监管数据体系,统一监管数据标准,统一数据加工逻辑大幅提升数据时效性，支持穿透监管;改变多头报送模式，减轻监管报送负担，实现智慧采集。
二、实施内容
本套数据指标体系包括明细类及监管指标类两大类数据。其中明细类数据包含机构、客户、关系、财务、产品、协议、交易、状态、资源、参数等【10】个类别，【90】张数据表共【2224】个字段。</t>
  </si>
  <si>
    <t>2024.05-2024.10</t>
  </si>
  <si>
    <t>侯长林</t>
  </si>
  <si>
    <t>MPP+GoldenDB</t>
  </si>
  <si>
    <t>GoldenDB 6.1</t>
  </si>
  <si>
    <t>建信金科鲁班</t>
  </si>
  <si>
    <t>金科业务组件</t>
  </si>
  <si>
    <t>恒丰银行数据类专用人力外包服务入围项目-包2：数据安全服务</t>
  </si>
  <si>
    <t>张灏</t>
  </si>
  <si>
    <t>数据安全管理模块</t>
  </si>
  <si>
    <t>数据安全</t>
  </si>
  <si>
    <t>一、	项目背景
本次数据领域的外包采购，拟加强在数据供给、数据管理、数据应用方面的人才供给，引入高水平的数据管理类、数据安全类、数据处理类、数据应用类的咨询规划、技术实施、运营服务人员，协助恒丰银行快速提升数据治理和数据应用水平，提升自主可控能力，为六自一体的数字化转型蓝图规划落地提供坚实的支撑。
二、实施内容
数据安全服务工作内容包括但不限于：数据全生命周期管理相关的安全合规检查服务、数据识别、分类分级及安全处理等技术工具开发服务、各类数据访问行为日志处理与分析废物、日常数据安全管理及运行维护、数据脱敏、销毁服务等工作。</t>
  </si>
  <si>
    <t>林睿18610905967</t>
  </si>
  <si>
    <t>招商银行大数据平台升级重构项目二期</t>
  </si>
  <si>
    <t>招商银行</t>
  </si>
  <si>
    <t>金融业务6A部</t>
  </si>
  <si>
    <t>金融业务六部</t>
  </si>
  <si>
    <t>魏俊杰</t>
  </si>
  <si>
    <t>招商银行所有集市</t>
  </si>
  <si>
    <t>一、	项目背景
为了综合提升数据资产管理能力和数据服务能力，做到行业先进，更好支撑招商银行全面数字化转型需要，招商银行2023年启动对大数据平台做全面优化升级。一期项目根据招商银行大数据平台核心数据仓库现状，结合招商银行数据中台规划战略，输出《大数据平台核心数据仓库升级改造咨询服务报告》，并编制《大数据平台核心数据仓库升级改造工作说明书》，并据此制定相应的实施计划，完成大数据平台核心数据仓库全局共享区的实施及发布。二期项目主要工作内容包括保障应用平滑迁移和全面执行长效管理机制。
二、实施内容
根据《大数据平台核心数据仓库升级改造咨询服务报告》编制《大数据平台核心数据仓库适应性改造工作说明书》，并据此制定相应的实施计划，完成大数据平台核心数据仓库的实施及落地服务。具体如下：
(一)核心数据仓库原全局共享区新增需求改造与落地。
(二)核心数据仓库AMART应用专属区适应性改造与落地。
(三)大数据分析平台AMART应用专属区适应性改造与落地。
(四)分行数据云全局共享区分行下数、AMART分行下数适应性改造与落地。
(五)高斯分析集群业务实验室全局共享区&amp;AMART应用专属区适应性改造数据同步历史数据转换、业务用户知识更新
(六)交换平台下游取数应用适应性改造与落地。
(七)监管类等高保类数据应用的实施与落地。
(八)数据资产冗余识别、治理等实施与落地。
(九)数据资产管理与服务适应性改造与落地。
(十)长链路作业最优化路径识别、治理等实施与落地。
(十一)协助数据架构管理、数据模型管理、数据需求仲裁等长效机制落地与执行。
(十二)其他有利于核心数据仓库升级改造的约定事项的实施与落地。</t>
  </si>
  <si>
    <t>2024.02-2025.01</t>
  </si>
  <si>
    <t>李爱斌/13411397891</t>
  </si>
  <si>
    <t>BIX（自研）+圆方（外购+自研）</t>
  </si>
  <si>
    <t>自研</t>
  </si>
  <si>
    <t>不了解</t>
  </si>
  <si>
    <t>2024.1-2025.1</t>
  </si>
  <si>
    <t>财资云数智中台项目</t>
  </si>
  <si>
    <t>李晓勇</t>
  </si>
  <si>
    <t>数据仓库，实时数据平台</t>
  </si>
  <si>
    <t>对公集市，交易银行批发产品集市建设</t>
  </si>
  <si>
    <t>指标管理平台，标签管理平台，指标梳理，标签梳理</t>
  </si>
  <si>
    <t>经营分析平台，统一数据门户，PC端管理驾驶舱，移动端管理驾驶舱，报表平台，大屏，PC端指标看板，移动端指标看板</t>
  </si>
  <si>
    <t>对公CRM</t>
  </si>
  <si>
    <t>一、	项目背景
交易银行数据基础设施建设已完成打通和深化的建设阶段，已具备形成快速构建各类应用的能力。然而，已实现的阶段目标是以基础能力为主，业务价值交付为辅，聚焦于数据治理和夯实数据基础设施，还未形成数据价值变现的有效路径。同时，产品应用主要集中于对内场景，专注于提升行内产品经理、客户经理的专业效能，缺少与对公客户的业务连接，无法将客户交易数据融合至企业经营场景之中。为解决以上问题，有必要建设一套对客财资数据体系，以业务价值交付为主，融合数据能力与企业经营管理，向企业财资的智能化、场景化、差异化优化，深化更多对客版产品连接，将数据能力深入应用到企业财资管理、收付款等战略业务经营场景，持续推动数据的价值变现。
二、实施内容
1、财资云+数据场景建设。财资云数据场景，是基于对公基础数据与数据中台专题数据，搭载在企业网银、企业APP、微信小程序等渠道，直面客户的综合数据服务应用群。重点瞄准集团客户客群，打造适配企业高管、财务主管、基础经办三类通用企业角色需求的立体服务矩阵。
2、数智中台建设。包括历史交易数据建设、线上营销活动资格数据建设、数据场景指标建设、数据权限建设、预测模型建设、预警中心建设及主题分析数据建设等内容
3、财资云+销售场景建设。包括建设统一客户中台、收款产品统一对账单、销售场景数据沉淀建设等内容
4、前端开发，涉及经营分析平台，统一数据门户，PC端管理驾驶舱，移动端管理驾驶舱，报表平台，大屏，PC端指标看板，移动端指标看板</t>
  </si>
  <si>
    <t>2024.03-2025.03</t>
  </si>
  <si>
    <t>赵思雨19928796953</t>
  </si>
  <si>
    <t>振兴银行采购订单统一监管报送平台凤凰项目改造-测试技术服务</t>
  </si>
  <si>
    <t>振兴银行</t>
  </si>
  <si>
    <t>戚丽洁</t>
  </si>
  <si>
    <t>【自研长亮监管SUNCRS】统一监管报送，1104，人行金融统计报送（大集中），人行利率报送，存款保险，pisas</t>
  </si>
  <si>
    <t>1、项目背景：
    《中国银行业信息科技十二五发展规划指导意见》指出各大中型银行要建立数据治理机制，推进数据标准化和质量建设；
    银监会《银行业金融机构数据治理指引》从组织、制度、IT系统、流程等方面对监管统计数据的管理提出了明确的要求；
    银监会《商业银行资本管理办法（试行）》要求：商业银行应当系统性地收集、整理、跟踪和分析各类风险相关数据，建立数据仓库、风险数据集市和数据管控系统，确保数据的完整性、全面性、准确性和一致性。
2、实施内容：
    一、配合振兴银行系统迁移，涉及监管集市接口改造；
    二、根据振兴银行ods新模型对1104报表共64张进行测试；
    三、根据振兴银行ods新模型对金融统计报表共18张进行测试；
    四、根据振兴银行ods新模型对利率报备报表共39张进行测试；
    五、根据振兴银行ods新模型对存款保险报表共2张进行测试；
    六、根据振兴银行ods新模型对pisas报表共14张进行测试；</t>
  </si>
  <si>
    <t>2020.08-2020.11</t>
  </si>
  <si>
    <t>孙宁宁18698747805</t>
  </si>
  <si>
    <t>RED HAT</t>
  </si>
  <si>
    <t>【长亮自研】监管报送</t>
  </si>
  <si>
    <t>统一监管报送系统</t>
  </si>
  <si>
    <t>监管报送集市</t>
  </si>
  <si>
    <t>新疆银行审计数据集市</t>
  </si>
  <si>
    <t>新疆银行</t>
  </si>
  <si>
    <t>新疆银行审计部</t>
  </si>
  <si>
    <t>新疆银行科技</t>
  </si>
  <si>
    <t>胡豪</t>
  </si>
  <si>
    <t>示例：
一、	项目背景
新疆银行股份有限公司（以下简称“新疆银行”）是经国务院同意、由自治区和兵团共同发起设立的，以国有资本为主导、民营资本适度参与的股份制商业银行，现有股东17家。新疆银行也是自治区唯一一家省级地方法人金融机构。 
根据《审计数据集市表清单》，在ODS平台创建审计集市数据库用户，单独表空间管理，完成84张业务表的数据开发工作。利用标准SQL开发语言，将78张表的数据导出txt文本文件，该数据文件支持导入到微软数据库文件格式。数据文件以日频度批量更新处理。数据表名和字段名称汉化处理，码值汉化处理。对数据进行清洗、去重等加工处理；在源系统能够支撑的情况下，保证数据的准确性、完成性、时效性。其他技术要求参照ODS平台建设技术要求。
二、实施内容
1、在ods的基础上，搭建审计集市的模型层。
2、使用ODS的贴原层和审计集市的模型层开发84张审计集市报表
3、使用数据交换平台加脚本卸载出84张审计集市报表的数据文件
4、开发bat脚本，支持使用bat脚本把数据文件导入到windows环境的sqlserver数据库中</t>
  </si>
  <si>
    <t>2024.03-2024.05</t>
  </si>
  <si>
    <t>冯飞 13699996492</t>
  </si>
  <si>
    <t>oracle 12c</t>
  </si>
  <si>
    <t xml:space="preserve">   /</t>
  </si>
  <si>
    <t>tasck调度</t>
  </si>
  <si>
    <t>red hat 7.4</t>
  </si>
  <si>
    <t>【长亮自研】ODS</t>
  </si>
  <si>
    <t>新疆银行普惠金融部统计报表系统项目</t>
  </si>
  <si>
    <t>何勇</t>
  </si>
  <si>
    <t>【自研长亮监管SUNIMP】指标管理平台，指标梳理，指标库</t>
  </si>
  <si>
    <t>【自研长亮监管SUNCRS】统一监管报送，普惠金融报表系统</t>
  </si>
  <si>
    <t>示例：
一、	项目背景
新疆银行股份有限公司（以下简称“新疆银行”）是经国务院同意、由自治区和兵团共同发起设立的，以国有资本为主导、民营资本适度参与的股份制商业银行，现有股东17家。新疆银行也是自治区唯一一家省级地方法人金融机构。 
为了适应经济金融形势的发展变化、提高金融统计数据的准确性、完整性，促进金融市场健康发展；为了更好的满足内部精细化管理要求，加之中国人民银行、银保监会等外部监管机构不断加大对各金融机构的监管力度，在这种背景下，以普惠金融部需求为依据，实施统一报送平台系统升级，加强统计管理，实现监管统计数据的一致性，提高报送效率和数据质量是有必要的。
二、实施内容
根据普惠金童部需求新增对应报表，实现报表自动化取数需要源业务系统的支持。</t>
  </si>
  <si>
    <t>2023.04-2025.07</t>
  </si>
  <si>
    <t>张丽香，18899180701</t>
  </si>
  <si>
    <t>新疆银行统一监管报送系统2024年制度升级项目</t>
  </si>
  <si>
    <t>内控合规部</t>
  </si>
  <si>
    <t>授信审批部、资产管理部、风险管理部、普惠业务部、个人银行部、公司业务部、国际业务部、金融市场部</t>
  </si>
  <si>
    <t>李定达</t>
  </si>
  <si>
    <t>【自研长亮监管SUNCRS】统一监管报送，1104，人行金融统计报送（大集中），金融基础数据报送，EAST</t>
  </si>
  <si>
    <t>示例：
一、	项目背景
新疆银行为满足2024年人行和银监对1104系统、人行大集中系统、金融基础数据系统的报送要求，需在已建成的统一监管报送系统上依照监管要求进行升级改造，主要是将2024年新增和修订86张报表纳入报送系统升级改造计划，优化内部统计制度，提升监管报表填报自动化水平。
二、实施内容
1）依照监管要求升级完成目前统一监管报送平台上、人行大集中12张、1104报表66张、金融基础数据8张表样升级及逻辑开发；
2）2024年国际业务数据线上化取数逻辑优化工作；2023年金融基础数据和EAST需要优化问题；
3）不断提高大集中、金融基础数据、EAST、1104报表自动化程度，加强对异常变动数据及错误数据的自动识别和预警能力，每月定期生成跨系统数据校验报告，提高监管报送质效；
4）接入外部数据配改。利用外部数据补充新疆银行监管报表缺失的数据项。</t>
  </si>
  <si>
    <t>2023.12-2024.06</t>
  </si>
  <si>
    <t>田怡15509929009</t>
  </si>
  <si>
    <t xml:space="preserve">Oracle </t>
  </si>
  <si>
    <t>Oracle 12.1.0.2.0</t>
  </si>
  <si>
    <t>塔斯克taskctl</t>
  </si>
  <si>
    <t>福建海峡银行股份有限公司新内部资金转移定价系统数仓配套FTP数据服务项目</t>
  </si>
  <si>
    <t>海峡银行</t>
  </si>
  <si>
    <t>金融业务10A部</t>
  </si>
  <si>
    <t>王榕</t>
  </si>
  <si>
    <t>管理会计集市</t>
  </si>
  <si>
    <t>一、	项目概况
本次新内部资金转移定价系统_数据仓库集市配套项目计划基于数据仓库进行整合后的数据提供数据接口，支撑对新内部资金转移定价系统相关数据应用需求。数据接口需求来源一是为进一步支持提供新内部资金转移定价系统的相关数据服务需求，需接入相关上游业务系统数据表接口，二是根据对新内部资金转移定价系统的数据服务接口需求，加工相关FTP数据集市并提供数据服务接口。为此，启动新内部资金转移定价系统_数据仓库集市配套项目。
二、项目目标
数仓配套FTP数据服务（FTP数据集市）
数仓配套FTP系统建设提供完善的数据基础，为FTP系统提供完整的数据服务。
（1）提供完整的数据服务。基于FTP项目数据需求，数据服务应涵盖但不限于以下范围：全资产负债表，资本金、清算业务，代理类业务、表外业务(承兑及保函）等特殊业务。完成数仓数据服务整合后，将数据同步到GBASE数据库中完成数据集市的整合汇总。业务明细数据需按新FTP口径追溯补充2022年5月新核心投产以来的历史数据。
（2）配合FTP主体项目，进行基础数据源核对，对数据仓库现有数据分析、上游系统数据可落地性评估，协调配合梳理、核对相关需求口径协调相关业务部门进行核对，提出问题数据产生的原因和解决方案。
（3）重点数据治理，总分核对工作重点在损益模块，如存贷款利息收支、投资类利息及部分中间业务收入等，对余额和发生额进行核对，应深入到账户级，提供核对建议，提出问题数据产生的原因和解决方案。一是FTP系统能保证从核心或数据仓库等取到利息的完整性，账户级每日计提利息与损益表相同，实现期间贷款利息收入，存款利息支出与损益表中一致。 二是各级机构业务状况表、资产负债表和损益表的数据核对一致。
三、总体需求
数仓配套FTP系统建设提供完善的数据基础，为FTP系统提供完整的数据服务。
（一）业务系统表接入
 根据对FTP的数据服务需求，预计本次需接入全资产负债表，资本金、清算业务，代理类业务、表外业务等特殊业务数据，预计接入70张数据表接口。实际情况以业务最终需求情况为准，涉及调整的需求以同等工作量置换。
（二）数据集市开发
提供完整的数据服务。基于FTP项目数据需求，数据服务应涵盖但不限于以下范围：全资产负债表，资本金、清算业务，代理类业务、表外业务等特殊业务。完成数仓数据服务整合后，将数据同步到GBASE数据库中完成数据集市的整合汇总等。实际情况以业务最终需求情况为准，涉及调整的需求以同等工作量置换。预计接口表50张。业务明细数据需按新FTP口径追溯补充2022年5月新核心投产以来的历史数据。
（三）数据质量提升
配合FTP主体项目，进行基础数据源核对，对数据仓库现有数据分析、上游系统数据可落地性评估，协调配合梳理、核对相关需求口径协调相关业务部门进行核对，提出问题数据产生的原因和解决方案。预计基础数据源总分核对（200个）
总分核对工作重点在损益模块，如存贷款利息收支 、投资类利息及部分中间业务收入等，对余额和发生额进行核对，应深入到账户级，提供核对建议，提出问题数据产生的原因和解决方案。一是FTP系统能保证从核心或数据仓库等取到利息的完整性，账户级的每日计提利息与业务状况表相同，实现期间贷款利息收入，存款利息支出与损益表中一致。 二是各级机构业务状况表、资产负债表和损益表的数据核对一致。</t>
  </si>
  <si>
    <t>高项韬 15880913075</t>
  </si>
  <si>
    <t>Orcle</t>
  </si>
  <si>
    <t>宇信use调度</t>
  </si>
  <si>
    <t>长亮科技数据资产管理平台v2.0和先进数通产品</t>
  </si>
  <si>
    <t>管会系统</t>
  </si>
  <si>
    <t>紫金农商行2024年度金融科技系统人力外包采购合同</t>
  </si>
  <si>
    <t>紫金农商行</t>
  </si>
  <si>
    <t>数据交换平台、数据补录平台、指标开发平台、统一监管报送</t>
  </si>
  <si>
    <t>统一监管报送，1104，客户风险，一表通，East</t>
  </si>
  <si>
    <t>一、	项目背景
本项目为紫金农商行外包现场技术服务框架采购，在服务期内，长亮提供的现场技术服务人员，按照对应岗位，对服务项目或系统提供项目管理、软件开发、故障处理、问题修复、技术咨询、UI设计、系统测试、日常维护、系统性能调整及需求变化引起的系统改造或升级等服务。同时完成相关工作的技术和管理材料的编写，包括但不限于需求和计划文档、开发和设计文档、代码说明书、测试文档、运维文档、工作汇报材料。
长亮在该项目中服务项目包括部局限于企业级数据仓库以及监管集市等系统的开发运维</t>
  </si>
  <si>
    <t>2024.01-2024.12</t>
  </si>
  <si>
    <t>陈梁13851909772</t>
  </si>
  <si>
    <t>监管报送，报表，驾驶舱</t>
  </si>
  <si>
    <t>郑州银行风险看板建设项目</t>
  </si>
  <si>
    <t>郑州银行</t>
  </si>
  <si>
    <t>金融业务2A部</t>
  </si>
  <si>
    <t>彭优</t>
  </si>
  <si>
    <t xml:space="preserve">
一、	项目背景
在信息化和数据化的时代，经济和市场动态瞬息万变。快速反应和应对，成为了企业最重要的能力和竞争力之一。为了更加科学和可视化的监控风险业务信息，管理过程需要合理及时的查看风险业务发展情况，特开展此项目。
为解决以上问题，通过可视化的方式将风险业务数据更及时且直观的展示，减轻管理者手工填报数据的压力，通过可视化的元素使得管理者们不用面对枯燥的数据明细，在数据展示基础上使得页面效果更加简洁清晰，减轻使用者视觉疲劳。
二、实施内容
1、宏观分析
2、整体风险
3、风险偏好
4、特定风险
5、补录数据</t>
  </si>
  <si>
    <t>2023.12-2024.2</t>
  </si>
  <si>
    <t>张欢欢</t>
  </si>
  <si>
    <t>finereport</t>
  </si>
  <si>
    <t>jcm</t>
  </si>
  <si>
    <t>重庆银行数字信贷联合运营基座建设及基础产品落地项目咨询</t>
  </si>
  <si>
    <t>重庆银行</t>
  </si>
  <si>
    <t>金融业务3A部</t>
  </si>
  <si>
    <t>赵安</t>
  </si>
  <si>
    <t>运营基座咨询、业务运营咨询</t>
  </si>
  <si>
    <t>一、	项目背景
为促进甲方数字信贷业务发展，提升数据价值挖掘和全流程业务运营质效，建设运营基座及实施产品运营服务。
二、实施内容
（一）运营基座咨询服务主要包含如下服务事项：
1、	调研与诊断
2、	构建数字信贷产品数据应用管理流程和机制
3、	构建数字信贷业务数据设计及管理规范
4、	构建符合我行数字信贷业务运营管理需求的多维度主题宽表
5、	辅助行方协同各系统落地实施前述标准和管理规范
（二）业务运营咨询服务：
为甲方提供“好企贷”、“链企贷”等全部存量数字信贷产品及本合同期内新增数字信贷产品的业务运营服务，服务内容包括但不限于：业务问题协助处理、日常需求分析及协助落地沟通等日常运维咨询，定期或不定期产品分析、模型监控、政策解读等产品运营支持，风险数据调整、风险模型新建及优化、产品方案提升等产品性能优化。</t>
  </si>
  <si>
    <t>2024.06-2025.05</t>
  </si>
  <si>
    <t>李霜 18680759198</t>
  </si>
  <si>
    <t>华为mrs</t>
  </si>
  <si>
    <t>MOIA</t>
  </si>
  <si>
    <t>重庆银行数字化运营落地实施项目三期</t>
  </si>
  <si>
    <t>何郅睿</t>
  </si>
  <si>
    <t>一、	项目背景
通过项目一二期的建设完成数据诊断，制定文档等模块建设，通过项目三期的实施，拟达成业务管理流程线上化。
二、实施内容
1、建设智慧协同模块
   在数字化运营平台中新建智慧协同模块，包含协同工作台、日历管理、项目管理、模板管理、工作流配置管理、任务派发与流转管理、统计分析、需求全流程管理等功能
2、数字化运营日常迭代优化需求
3、数字化运营系统XC改造</t>
  </si>
  <si>
    <t>JCM/MOIA</t>
  </si>
  <si>
    <t>神码</t>
  </si>
  <si>
    <t>arm</t>
  </si>
  <si>
    <t>银河麒麟V10</t>
  </si>
  <si>
    <t>锦州银行数据仓库2024年研发资源池项目（20240401-20241231）</t>
  </si>
  <si>
    <t>锦州银行</t>
  </si>
  <si>
    <t>李文豪</t>
  </si>
  <si>
    <t>数据仓库，数据湖，数仓迁移</t>
  </si>
  <si>
    <t>示例：
一、	项目背景
数据仓库系统自2012年建设投产至今，系统运行稳定，顺利完成了系统优化改造以及业务需求开发，满足业务部门的相关数据使用需求。2024年数据仓库系统还将继续进行系统优化以及内部提升工作，数据仓库系统属于我行重要的业务支撑系统并且系统改造需求滚动进行，实现对数据仓库系统的维护，并在现有系统基础上进行优化改造和业务拓展开发，保障我行业务系统稳定健康运行。
二、实施内容
根据行内目前现状，可将2024年数据仓库研发工作划分为以下五个部分：业务源系统数据入湖存储及数据传输类需求、数据加工类需求、新大数据平台迁移、存量模型效率提升、后续应急类紧急需求。</t>
  </si>
  <si>
    <t>李龙成13238855818</t>
  </si>
  <si>
    <t>HADOOP</t>
  </si>
  <si>
    <t>星环TDH</t>
  </si>
  <si>
    <t>ABI</t>
  </si>
  <si>
    <t>长春理想科技</t>
  </si>
  <si>
    <t>宇信通用文件传输平台</t>
  </si>
  <si>
    <t>2024.4-2025.3</t>
  </si>
  <si>
    <t>部分迁移</t>
  </si>
  <si>
    <t>华宇</t>
  </si>
  <si>
    <t>数据集市适配新核心业务系统开发服务项目</t>
  </si>
  <si>
    <t>长城资产</t>
  </si>
  <si>
    <t>金融业务9G部</t>
  </si>
  <si>
    <t>陈鹏</t>
  </si>
  <si>
    <t>风险集市，财务集市</t>
  </si>
  <si>
    <t>示例：
一、	项目背景
新核心业务系统上线后，原投资与综合金融服务系统将逐渐停止对外服务，目前核心业务系统进行了分析，新系统剔除了原投融资的 423 项字段，新增采集 401 项，合并含义相近 172 项，总计采集 1203 个数据项。
二、实施内容
由于投融资系统是风险集市和财务集市的主要数据来源之一，需要对财务集市和风险集市进行相应的改造，将数据来源从投融资系统换切到审核审批系统，确保上层报表的正确性。
本次项目要求数据集市完成来源系统为投资与综合金融服务系统接口的替换和改造，替换的数据从业务审核审批系统接入。并保证业务、财务、风险基础数据的存量和新数据的准确性和完整性，不影响集市层报表的展示。</t>
  </si>
  <si>
    <t>2024.01-2024.06</t>
  </si>
  <si>
    <t>陈明文 13810100956</t>
  </si>
  <si>
    <t xml:space="preserve">oracle 12c </t>
  </si>
  <si>
    <t>青岛农商银行数据整合平台及EAST系统2024年人员驻场开发项目</t>
  </si>
  <si>
    <t>青岛农商银行</t>
  </si>
  <si>
    <t>赵晨涛</t>
  </si>
  <si>
    <t>数据交换平台，调度平台</t>
  </si>
  <si>
    <t>管瑞15652910339</t>
  </si>
  <si>
    <t>DB2</t>
  </si>
  <si>
    <t>DB2-DPF v11.1.3.3</t>
  </si>
  <si>
    <t>长亮科技调度平台</t>
  </si>
  <si>
    <t>齐商银行外部数据平台功能2024升级项目采购合同</t>
  </si>
  <si>
    <t>宋曾锦</t>
  </si>
  <si>
    <t>示例：
一、	项目背景
随着齐商银行近几年不断拓展利用外部数据辅助经营管理的业务和领域，基于齐商银行外部数据当前的应用场景需求和未来数据中台的建设规划，需要在齐商银行现有外部数据平台的基础上，进行相关功能升级，以达到数据接入需求快速响应、外部数据统一接入和统一服务、外部数据计费和对账的统一管理、内外部数据的融合应用、提高外部数据复用性等目标，为后续的外部数据应用提供系统层面和数据层面的保障。
二、实施内容
1、外部数据批量查询功能，支持特定接口的批量数据查询服务，下游系统可以通过接口调用，一次性获取目标列的数据；并且在系统前台实现批量查询接口的灵活配置，通过excel导入的方式，在系统中完成自主的批量数据查询。
2、外部数据计费和对账管理，在前台按接入厂商和数据调用系统维度，按月、季、年以计费报告的形式展示各厂商和各下游系统的数据调用费用明细。
3、通过外部数据平台与安硕渠道外部数据接口对接，实现安硕渠道对公客户外部数据的统一接入和统一服务，为贷后管理系统、风控中台、账户风险管理系统等下游系统提供标准的数据调用接口，进一步整合全行外部数据接入和服务的体系。
4、借助数据中台建设得机会，将内部数据和外部数据进行统一整合，物理层面集中存储至数据中台，以支撑后续潜在得内外部数据融合得应用场景。</t>
  </si>
  <si>
    <t>2023.11-2024.07</t>
  </si>
  <si>
    <t>董光玉13864432515</t>
  </si>
  <si>
    <t>【长亮自研】外部数据管理平台</t>
  </si>
  <si>
    <t>外部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</si>
</sst>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409]mmmmm;@"/>
    <numFmt numFmtId="177" formatCode="[$-F400]h:mm:ss\ AM/PM"/>
  </numFmts>
  <fonts count="23" x14ac:knownFonts="1">
    <font>
      <sz val="11"/>
      <color theme="1"/>
      <name val="等线"/>
      <charset val="134"/>
      <scheme val="minor"/>
    </font>
    <font>
      <sz val="10"/>
      <name val="微软雅黑"/>
      <family val="2"/>
      <charset val="134"/>
    </font>
    <font>
      <sz val="10"/>
      <color theme="0"/>
      <name val="微软雅黑"/>
      <family val="2"/>
      <charset val="134"/>
    </font>
    <font>
      <sz val="10"/>
      <color theme="1"/>
      <name val="微软雅黑"/>
      <family val="2"/>
      <charset val="134"/>
    </font>
    <font>
      <b/>
      <sz val="10"/>
      <color theme="0"/>
      <name val="微软雅黑"/>
      <family val="2"/>
      <charset val="134"/>
    </font>
    <font>
      <u/>
      <sz val="11"/>
      <color theme="10"/>
      <name val="等线"/>
      <family val="3"/>
      <charset val="134"/>
      <scheme val="minor"/>
    </font>
    <font>
      <sz val="11"/>
      <color theme="1"/>
      <name val="等线"/>
      <family val="3"/>
      <charset val="134"/>
      <scheme val="minor"/>
    </font>
    <font>
      <sz val="11"/>
      <color indexed="8"/>
      <name val="宋体"/>
      <family val="3"/>
      <charset val="134"/>
    </font>
    <font>
      <sz val="9"/>
      <name val="等线"/>
      <family val="3"/>
      <charset val="134"/>
      <scheme val="minor"/>
    </font>
    <font>
      <b/>
      <sz val="16"/>
      <color theme="1"/>
      <name val="等线"/>
      <family val="3"/>
      <charset val="134"/>
      <scheme val="minor"/>
    </font>
    <font>
      <b/>
      <sz val="14"/>
      <color theme="1"/>
      <name val="等线"/>
      <family val="3"/>
      <charset val="134"/>
      <scheme val="minor"/>
    </font>
    <font>
      <sz val="12"/>
      <color theme="1"/>
      <name val="思源黑体"/>
      <family val="2"/>
      <charset val="134"/>
    </font>
    <font>
      <sz val="12"/>
      <name val="思源黑体"/>
      <family val="2"/>
      <charset val="134"/>
    </font>
    <font>
      <b/>
      <sz val="10"/>
      <name val="思源黑体"/>
      <family val="2"/>
      <charset val="134"/>
    </font>
    <font>
      <b/>
      <sz val="10"/>
      <color theme="0"/>
      <name val="微软雅黑"/>
      <family val="2"/>
    </font>
    <font>
      <sz val="10"/>
      <color rgb="FFFF0000"/>
      <name val="微软雅黑"/>
      <family val="2"/>
    </font>
    <font>
      <b/>
      <sz val="10"/>
      <name val="微软雅黑"/>
      <family val="2"/>
      <charset val="134"/>
    </font>
    <font>
      <sz val="10"/>
      <color rgb="FFFF0000"/>
      <name val="微软雅黑"/>
      <family val="2"/>
      <charset val="134"/>
    </font>
    <font>
      <u/>
      <sz val="10"/>
      <color theme="10"/>
      <name val="微软雅黑"/>
      <family val="2"/>
      <charset val="134"/>
    </font>
    <font>
      <sz val="10"/>
      <color theme="1"/>
      <name val="宋体"/>
      <family val="3"/>
      <charset val="134"/>
    </font>
    <font>
      <sz val="10"/>
      <color theme="0"/>
      <name val="宋体"/>
      <family val="3"/>
      <charset val="134"/>
    </font>
    <font>
      <sz val="12"/>
      <name val="宋体"/>
      <family val="3"/>
      <charset val="134"/>
    </font>
    <font>
      <b/>
      <sz val="11"/>
      <color theme="0"/>
      <name val="微软雅黑"/>
      <family val="2"/>
      <charset val="134"/>
    </font>
  </fonts>
  <fills count="16">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theme="7"/>
        <bgColor indexed="64"/>
      </patternFill>
    </fill>
    <fill>
      <patternFill patternType="solid">
        <fgColor rgb="FF00B0F0"/>
        <bgColor indexed="64"/>
      </patternFill>
    </fill>
    <fill>
      <patternFill patternType="solid">
        <fgColor rgb="FF92D050"/>
        <bgColor indexed="64"/>
      </patternFill>
    </fill>
    <fill>
      <patternFill patternType="solid">
        <fgColor theme="5" tint="-0.249977111117893"/>
        <bgColor indexed="64"/>
      </patternFill>
    </fill>
    <fill>
      <patternFill patternType="solid">
        <fgColor theme="4"/>
        <bgColor indexed="64"/>
      </patternFill>
    </fill>
    <fill>
      <patternFill patternType="solid">
        <fgColor theme="9"/>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7" tint="0.3999450666829432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
      <left/>
      <right style="thin">
        <color auto="1"/>
      </right>
      <top/>
      <bottom/>
      <diagonal/>
    </border>
  </borders>
  <cellStyleXfs count="6">
    <xf numFmtId="0" fontId="0" fillId="0" borderId="0"/>
    <xf numFmtId="0" fontId="5" fillId="0" borderId="0" applyNumberFormat="0" applyFill="0" applyBorder="0" applyAlignment="0" applyProtection="0"/>
    <xf numFmtId="176" fontId="7" fillId="0" borderId="0">
      <alignment vertical="center"/>
    </xf>
    <xf numFmtId="177" fontId="6" fillId="0" borderId="0"/>
    <xf numFmtId="0" fontId="6" fillId="0" borderId="0"/>
    <xf numFmtId="0" fontId="21" fillId="0" borderId="0"/>
  </cellStyleXfs>
  <cellXfs count="95">
    <xf numFmtId="0" fontId="0" fillId="0" borderId="0" xfId="0"/>
    <xf numFmtId="0" fontId="3" fillId="0" borderId="0" xfId="0" applyFont="1" applyAlignment="1">
      <alignment horizontal="left" vertical="center"/>
    </xf>
    <xf numFmtId="0" fontId="1" fillId="0" borderId="0" xfId="0" applyFont="1" applyAlignment="1">
      <alignment horizontal="left" vertical="center"/>
    </xf>
    <xf numFmtId="0" fontId="1" fillId="0" borderId="1" xfId="0" applyFont="1" applyBorder="1" applyAlignment="1">
      <alignment horizontal="left" vertical="center"/>
    </xf>
    <xf numFmtId="0" fontId="1" fillId="2" borderId="1" xfId="0" applyFont="1" applyFill="1" applyBorder="1" applyAlignment="1">
      <alignment horizontal="left" vertical="center"/>
    </xf>
    <xf numFmtId="0" fontId="1" fillId="2" borderId="0" xfId="0" applyFont="1" applyFill="1" applyAlignment="1">
      <alignment horizontal="left" vertical="center"/>
    </xf>
    <xf numFmtId="0" fontId="6" fillId="0" borderId="0" xfId="0" applyFont="1"/>
    <xf numFmtId="0" fontId="4" fillId="3" borderId="1" xfId="0" applyFont="1" applyFill="1" applyBorder="1" applyAlignment="1">
      <alignment horizontal="center" vertical="center"/>
    </xf>
    <xf numFmtId="0" fontId="2" fillId="0" borderId="0" xfId="0" applyFont="1" applyAlignment="1">
      <alignment horizontal="center" vertical="center"/>
    </xf>
    <xf numFmtId="0" fontId="4" fillId="4" borderId="1" xfId="0" applyFont="1" applyFill="1" applyBorder="1" applyAlignment="1">
      <alignment horizontal="center" vertical="center"/>
    </xf>
    <xf numFmtId="0" fontId="6" fillId="0" borderId="1" xfId="0" applyFont="1" applyBorder="1"/>
    <xf numFmtId="0" fontId="0" fillId="0" borderId="0" xfId="0" applyAlignment="1">
      <alignment horizontal="left" vertical="center"/>
    </xf>
    <xf numFmtId="0" fontId="0" fillId="0" borderId="0" xfId="0" applyAlignment="1">
      <alignment horizontal="left"/>
    </xf>
    <xf numFmtId="0" fontId="6" fillId="5" borderId="1" xfId="0" applyFont="1" applyFill="1" applyBorder="1" applyAlignment="1">
      <alignment horizontal="center" vertical="center"/>
    </xf>
    <xf numFmtId="0" fontId="11" fillId="0" borderId="1" xfId="0" applyFont="1" applyBorder="1" applyAlignment="1">
      <alignment horizontal="left"/>
    </xf>
    <xf numFmtId="0" fontId="11" fillId="0" borderId="1" xfId="0" applyFont="1" applyBorder="1" applyAlignment="1">
      <alignment horizontal="left" vertical="top" wrapText="1"/>
    </xf>
    <xf numFmtId="0" fontId="4" fillId="8" borderId="1" xfId="0" applyFont="1" applyFill="1" applyBorder="1" applyAlignment="1">
      <alignment horizontal="center" vertical="center"/>
    </xf>
    <xf numFmtId="0" fontId="4" fillId="7"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10" borderId="1" xfId="0" applyFont="1" applyFill="1" applyBorder="1" applyAlignment="1">
      <alignment horizontal="center" vertical="center"/>
    </xf>
    <xf numFmtId="0" fontId="11" fillId="0" borderId="1" xfId="0" applyFont="1" applyBorder="1" applyAlignment="1">
      <alignment horizontal="center" vertical="center" wrapText="1"/>
    </xf>
    <xf numFmtId="0" fontId="11" fillId="2" borderId="1" xfId="0" applyFont="1" applyFill="1" applyBorder="1" applyAlignment="1">
      <alignment horizontal="left"/>
    </xf>
    <xf numFmtId="0" fontId="12" fillId="2" borderId="1" xfId="0" applyFont="1" applyFill="1" applyBorder="1" applyAlignment="1">
      <alignment horizontal="left"/>
    </xf>
    <xf numFmtId="0" fontId="11" fillId="0" borderId="1" xfId="0" applyFont="1" applyBorder="1" applyAlignment="1">
      <alignment horizontal="center" vertical="center"/>
    </xf>
    <xf numFmtId="0" fontId="4" fillId="8" borderId="1" xfId="0" applyFont="1" applyFill="1" applyBorder="1" applyAlignment="1">
      <alignment horizontal="center" vertical="center" wrapText="1"/>
    </xf>
    <xf numFmtId="0" fontId="4" fillId="0" borderId="1" xfId="0" applyFont="1" applyBorder="1" applyAlignment="1">
      <alignment horizontal="center" vertical="center"/>
    </xf>
    <xf numFmtId="0" fontId="13" fillId="12" borderId="1" xfId="0" applyFont="1" applyFill="1" applyBorder="1" applyAlignment="1">
      <alignment horizontal="center" vertical="center"/>
    </xf>
    <xf numFmtId="0" fontId="4" fillId="10" borderId="1" xfId="0" applyFont="1" applyFill="1" applyBorder="1" applyAlignment="1">
      <alignment horizontal="center" vertical="center" wrapText="1"/>
    </xf>
    <xf numFmtId="0" fontId="14" fillId="10" borderId="1" xfId="0" applyFont="1" applyFill="1" applyBorder="1" applyAlignment="1">
      <alignment horizontal="center" vertical="center" wrapText="1"/>
    </xf>
    <xf numFmtId="0" fontId="1" fillId="0" borderId="1" xfId="0" applyFont="1" applyBorder="1" applyAlignment="1">
      <alignment horizontal="left" vertical="center" wrapText="1"/>
    </xf>
    <xf numFmtId="0" fontId="16" fillId="11" borderId="1" xfId="0" applyFont="1" applyFill="1" applyBorder="1" applyAlignment="1">
      <alignment horizontal="center" vertical="center"/>
    </xf>
    <xf numFmtId="0" fontId="16" fillId="14" borderId="1" xfId="0" applyFont="1" applyFill="1" applyBorder="1" applyAlignment="1">
      <alignment horizontal="center" vertical="center" wrapText="1"/>
    </xf>
    <xf numFmtId="0" fontId="16" fillId="11" borderId="1" xfId="0" applyFont="1" applyFill="1" applyBorder="1" applyAlignment="1">
      <alignment horizontal="center" vertical="center" wrapText="1"/>
    </xf>
    <xf numFmtId="0" fontId="16" fillId="12" borderId="1" xfId="0" applyFont="1" applyFill="1" applyBorder="1" applyAlignment="1">
      <alignment horizontal="center" vertical="center" wrapText="1"/>
    </xf>
    <xf numFmtId="0" fontId="16" fillId="13" borderId="1" xfId="0" applyFont="1" applyFill="1" applyBorder="1" applyAlignment="1">
      <alignment horizontal="center" vertical="center"/>
    </xf>
    <xf numFmtId="0" fontId="16" fillId="14" borderId="1" xfId="0" applyFont="1" applyFill="1" applyBorder="1" applyAlignment="1">
      <alignment horizontal="center" vertical="top" wrapText="1"/>
    </xf>
    <xf numFmtId="0" fontId="17" fillId="2" borderId="1" xfId="0" applyFont="1" applyFill="1" applyBorder="1" applyAlignment="1">
      <alignment horizontal="left" vertical="center"/>
    </xf>
    <xf numFmtId="0" fontId="17" fillId="2" borderId="1" xfId="0" applyFont="1" applyFill="1" applyBorder="1" applyAlignment="1">
      <alignment horizontal="left" vertical="center" wrapText="1"/>
    </xf>
    <xf numFmtId="0" fontId="19" fillId="0" borderId="0" xfId="0" applyFont="1" applyAlignment="1">
      <alignment horizontal="left" vertical="center"/>
    </xf>
    <xf numFmtId="0" fontId="20" fillId="0" borderId="0" xfId="0" applyFont="1" applyAlignment="1">
      <alignment horizontal="center" vertical="center"/>
    </xf>
    <xf numFmtId="0" fontId="19" fillId="2" borderId="1" xfId="0" applyFont="1" applyFill="1" applyBorder="1" applyAlignment="1">
      <alignment horizontal="left" vertical="center"/>
    </xf>
    <xf numFmtId="0" fontId="1" fillId="0" borderId="1" xfId="0" applyFont="1" applyBorder="1" applyAlignment="1">
      <alignment vertical="center" wrapText="1"/>
    </xf>
    <xf numFmtId="0" fontId="18" fillId="0" borderId="0" xfId="1" applyFont="1"/>
    <xf numFmtId="0" fontId="3" fillId="0" borderId="0" xfId="0" applyFont="1"/>
    <xf numFmtId="0" fontId="3" fillId="0" borderId="1" xfId="0" applyFont="1" applyBorder="1"/>
    <xf numFmtId="0" fontId="3" fillId="0" borderId="1" xfId="0" applyFont="1" applyBorder="1" applyAlignment="1">
      <alignment horizontal="left"/>
    </xf>
    <xf numFmtId="0" fontId="3" fillId="0" borderId="0" xfId="0" applyFont="1" applyAlignment="1">
      <alignment horizontal="left"/>
    </xf>
    <xf numFmtId="0" fontId="3" fillId="0" borderId="1" xfId="0" applyFont="1" applyBorder="1" applyAlignment="1">
      <alignment horizontal="left" vertical="center"/>
    </xf>
    <xf numFmtId="0" fontId="3" fillId="2" borderId="1" xfId="0" applyFont="1" applyFill="1" applyBorder="1" applyAlignment="1">
      <alignment horizontal="left" vertical="center"/>
    </xf>
    <xf numFmtId="0" fontId="3" fillId="2" borderId="1" xfId="0" applyFont="1" applyFill="1" applyBorder="1" applyAlignment="1">
      <alignment horizontal="left" vertical="center" wrapText="1"/>
    </xf>
    <xf numFmtId="0" fontId="22" fillId="3" borderId="1" xfId="0" applyFont="1" applyFill="1" applyBorder="1" applyAlignment="1">
      <alignment horizontal="center" vertical="center"/>
    </xf>
    <xf numFmtId="0" fontId="3" fillId="0" borderId="1" xfId="0" applyFont="1" applyBorder="1" applyAlignment="1">
      <alignment horizontal="center"/>
    </xf>
    <xf numFmtId="0" fontId="3" fillId="0" borderId="1" xfId="0" applyFont="1" applyBorder="1" applyAlignment="1">
      <alignment wrapText="1"/>
    </xf>
    <xf numFmtId="9" fontId="3" fillId="0" borderId="1" xfId="0" applyNumberFormat="1" applyFont="1" applyBorder="1"/>
    <xf numFmtId="0" fontId="17" fillId="2" borderId="1" xfId="0" quotePrefix="1" applyFont="1" applyFill="1" applyBorder="1" applyAlignment="1">
      <alignment horizontal="left" vertical="center"/>
    </xf>
    <xf numFmtId="0" fontId="3" fillId="0" borderId="1" xfId="0" applyFont="1" applyBorder="1" applyAlignment="1">
      <alignment horizontal="left" vertical="center" wrapText="1"/>
    </xf>
    <xf numFmtId="0" fontId="9" fillId="0" borderId="0" xfId="0" applyFont="1" applyAlignment="1">
      <alignment horizontal="center" vertical="center" wrapText="1"/>
    </xf>
    <xf numFmtId="0" fontId="16" fillId="14" borderId="2" xfId="0" applyFont="1" applyFill="1" applyBorder="1" applyAlignment="1">
      <alignment horizontal="center" vertical="center" wrapText="1"/>
    </xf>
    <xf numFmtId="0" fontId="16" fillId="14" borderId="3" xfId="0" applyFont="1" applyFill="1" applyBorder="1" applyAlignment="1">
      <alignment horizontal="center" vertical="center" wrapText="1"/>
    </xf>
    <xf numFmtId="0" fontId="16" fillId="11" borderId="1" xfId="0" applyFont="1" applyFill="1" applyBorder="1" applyAlignment="1">
      <alignment horizontal="center" vertical="center"/>
    </xf>
    <xf numFmtId="0" fontId="16" fillId="12" borderId="1" xfId="0" applyFont="1" applyFill="1" applyBorder="1" applyAlignment="1">
      <alignment horizontal="center" vertical="center"/>
    </xf>
    <xf numFmtId="0" fontId="16" fillId="11" borderId="5" xfId="0" applyFont="1" applyFill="1" applyBorder="1" applyAlignment="1">
      <alignment horizontal="center" vertical="center"/>
    </xf>
    <xf numFmtId="0" fontId="16" fillId="11" borderId="6" xfId="0" applyFont="1" applyFill="1" applyBorder="1" applyAlignment="1">
      <alignment horizontal="center" vertical="center"/>
    </xf>
    <xf numFmtId="0" fontId="16" fillId="11" borderId="8" xfId="0" applyFont="1" applyFill="1" applyBorder="1" applyAlignment="1">
      <alignment horizontal="center" vertical="center"/>
    </xf>
    <xf numFmtId="0" fontId="16" fillId="11" borderId="9" xfId="0" applyFont="1" applyFill="1" applyBorder="1" applyAlignment="1">
      <alignment horizontal="center" vertical="center"/>
    </xf>
    <xf numFmtId="0" fontId="16" fillId="14" borderId="1" xfId="0" applyFont="1" applyFill="1" applyBorder="1" applyAlignment="1">
      <alignment horizontal="center" vertical="center" wrapText="1"/>
    </xf>
    <xf numFmtId="0" fontId="16" fillId="13" borderId="5" xfId="0" applyFont="1" applyFill="1" applyBorder="1" applyAlignment="1">
      <alignment horizontal="center" vertical="center"/>
    </xf>
    <xf numFmtId="0" fontId="16" fillId="13" borderId="6" xfId="0" applyFont="1" applyFill="1" applyBorder="1" applyAlignment="1">
      <alignment horizontal="center" vertical="center"/>
    </xf>
    <xf numFmtId="0" fontId="16" fillId="13" borderId="7" xfId="0" applyFont="1" applyFill="1" applyBorder="1" applyAlignment="1">
      <alignment horizontal="center" vertical="center"/>
    </xf>
    <xf numFmtId="0" fontId="16" fillId="13" borderId="8" xfId="0" applyFont="1" applyFill="1" applyBorder="1" applyAlignment="1">
      <alignment horizontal="center" vertical="center"/>
    </xf>
    <xf numFmtId="0" fontId="16" fillId="13" borderId="9" xfId="0" applyFont="1" applyFill="1" applyBorder="1" applyAlignment="1">
      <alignment horizontal="center" vertical="center"/>
    </xf>
    <xf numFmtId="0" fontId="16" fillId="13" borderId="10" xfId="0" applyFont="1" applyFill="1" applyBorder="1" applyAlignment="1">
      <alignment horizontal="center" vertical="center"/>
    </xf>
    <xf numFmtId="0" fontId="16" fillId="14" borderId="12" xfId="0" applyFont="1" applyFill="1" applyBorder="1" applyAlignment="1">
      <alignment horizontal="center" vertical="center" wrapText="1"/>
    </xf>
    <xf numFmtId="0" fontId="16" fillId="14" borderId="13" xfId="0" applyFont="1" applyFill="1" applyBorder="1" applyAlignment="1">
      <alignment horizontal="center" vertical="center" wrapText="1"/>
    </xf>
    <xf numFmtId="0" fontId="16" fillId="14" borderId="4"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8" borderId="1" xfId="0" applyFont="1" applyFill="1" applyBorder="1" applyAlignment="1">
      <alignment horizontal="center" vertical="center"/>
    </xf>
    <xf numFmtId="0" fontId="4" fillId="9" borderId="1" xfId="0" applyFont="1" applyFill="1" applyBorder="1" applyAlignment="1">
      <alignment horizontal="center" vertical="center"/>
    </xf>
    <xf numFmtId="0" fontId="4" fillId="6" borderId="2" xfId="0" applyFont="1" applyFill="1" applyBorder="1" applyAlignment="1">
      <alignment horizontal="center" vertical="center" wrapText="1"/>
    </xf>
    <xf numFmtId="0" fontId="4" fillId="6" borderId="3" xfId="0" applyFont="1" applyFill="1" applyBorder="1" applyAlignment="1">
      <alignment horizontal="center" vertical="center" wrapText="1"/>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15" borderId="0" xfId="0" applyFont="1" applyFill="1" applyAlignment="1">
      <alignment horizontal="center" vertical="center"/>
    </xf>
    <xf numFmtId="0" fontId="11" fillId="0" borderId="5" xfId="0" applyFont="1" applyBorder="1" applyAlignment="1">
      <alignment horizontal="center" vertical="center"/>
    </xf>
    <xf numFmtId="0" fontId="11" fillId="0" borderId="7" xfId="0" applyFont="1" applyBorder="1" applyAlignment="1">
      <alignment horizontal="center" vertical="center"/>
    </xf>
    <xf numFmtId="0" fontId="11" fillId="0" borderId="14"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0" xfId="0" applyFont="1" applyBorder="1" applyAlignment="1">
      <alignment horizontal="center" vertical="center"/>
    </xf>
    <xf numFmtId="0" fontId="11" fillId="0" borderId="2"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3" xfId="0" applyFont="1" applyBorder="1" applyAlignment="1">
      <alignment horizontal="center" vertical="center" wrapText="1"/>
    </xf>
    <xf numFmtId="0" fontId="11" fillId="0" borderId="2" xfId="0" applyFont="1" applyBorder="1" applyAlignment="1">
      <alignment horizontal="center" vertical="center"/>
    </xf>
    <xf numFmtId="0" fontId="11" fillId="0" borderId="11" xfId="0" applyFont="1" applyBorder="1" applyAlignment="1">
      <alignment horizontal="center" vertical="center"/>
    </xf>
    <xf numFmtId="0" fontId="11" fillId="0" borderId="3" xfId="0" applyFont="1" applyBorder="1" applyAlignment="1">
      <alignment horizontal="center" vertical="center"/>
    </xf>
  </cellXfs>
  <cellStyles count="6">
    <cellStyle name="常规" xfId="0" builtinId="0"/>
    <cellStyle name="常规 2" xfId="2" xr:uid="{00000000-0005-0000-0000-000001000000}"/>
    <cellStyle name="常规 2 2 3" xfId="5" xr:uid="{908A6907-3113-450B-80F2-E75CD3201850}"/>
    <cellStyle name="常规 23" xfId="3" xr:uid="{00000000-0005-0000-0000-000002000000}"/>
    <cellStyle name="常规 3" xfId="4" xr:uid="{D2565641-0681-4A57-B5AF-32AAF293A175}"/>
    <cellStyle name="超链接" xfId="1" builtinId="8"/>
  </cellStyles>
  <dxfs count="3">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11</xdr:col>
      <xdr:colOff>115262</xdr:colOff>
      <xdr:row>1</xdr:row>
      <xdr:rowOff>138313</xdr:rowOff>
    </xdr:from>
    <xdr:to>
      <xdr:col>12</xdr:col>
      <xdr:colOff>453358</xdr:colOff>
      <xdr:row>3</xdr:row>
      <xdr:rowOff>119824</xdr:rowOff>
    </xdr:to>
    <xdr:pic macro="[0]!ProcessFiles_1">
      <xdr:nvPicPr>
        <xdr:cNvPr id="3" name="图片 2">
          <a:extLst>
            <a:ext uri="{FF2B5EF4-FFF2-40B4-BE49-F238E27FC236}">
              <a16:creationId xmlns:a16="http://schemas.microsoft.com/office/drawing/2014/main" id="{2FE8E68D-1384-DA0B-FF81-B33ABFB9A1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69420" y="315046"/>
          <a:ext cx="952819" cy="3349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238125</xdr:colOff>
      <xdr:row>0</xdr:row>
      <xdr:rowOff>104775</xdr:rowOff>
    </xdr:from>
    <xdr:to>
      <xdr:col>17</xdr:col>
      <xdr:colOff>250825</xdr:colOff>
      <xdr:row>33</xdr:row>
      <xdr:rowOff>59354</xdr:rowOff>
    </xdr:to>
    <xdr:pic>
      <xdr:nvPicPr>
        <xdr:cNvPr id="2" name="图片 1">
          <a:extLst>
            <a:ext uri="{FF2B5EF4-FFF2-40B4-BE49-F238E27FC236}">
              <a16:creationId xmlns:a16="http://schemas.microsoft.com/office/drawing/2014/main" id="{9F92B61A-6EAF-463E-B9B2-D388257BD851}"/>
            </a:ext>
          </a:extLst>
        </xdr:cNvPr>
        <xdr:cNvPicPr>
          <a:picLocks noChangeAspect="1"/>
        </xdr:cNvPicPr>
      </xdr:nvPicPr>
      <xdr:blipFill>
        <a:blip xmlns:r="http://schemas.openxmlformats.org/officeDocument/2006/relationships" r:embed="rId1"/>
        <a:stretch>
          <a:fillRect/>
        </a:stretch>
      </xdr:blipFill>
      <xdr:spPr>
        <a:xfrm>
          <a:off x="4991100" y="104775"/>
          <a:ext cx="8928100" cy="611725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BCF0B-E9A2-404B-A355-13FA33388E7A}">
  <sheetPr codeName="Sheet1"/>
  <dimension ref="A2:M26"/>
  <sheetViews>
    <sheetView workbookViewId="0">
      <selection activeCell="N12" sqref="N12"/>
    </sheetView>
  </sheetViews>
  <sheetFormatPr defaultRowHeight="13.95" x14ac:dyDescent="0.25"/>
  <cols>
    <col min="2" max="2" width="10.21875" customWidth="1"/>
  </cols>
  <sheetData>
    <row r="2" spans="1:13" x14ac:dyDescent="0.25">
      <c r="A2" s="56" t="s">
        <v>8</v>
      </c>
      <c r="B2" s="56"/>
      <c r="C2" s="56"/>
      <c r="D2" s="56"/>
      <c r="E2" s="56"/>
      <c r="F2" s="56"/>
      <c r="G2" s="56"/>
      <c r="H2" s="56"/>
      <c r="I2" s="56"/>
      <c r="J2" s="56"/>
      <c r="K2" s="56"/>
      <c r="L2" s="56"/>
      <c r="M2" s="56"/>
    </row>
    <row r="3" spans="1:13" x14ac:dyDescent="0.25">
      <c r="A3" s="56"/>
      <c r="B3" s="56"/>
      <c r="C3" s="56"/>
      <c r="D3" s="56"/>
      <c r="E3" s="56"/>
      <c r="F3" s="56"/>
      <c r="G3" s="56"/>
      <c r="H3" s="56"/>
      <c r="I3" s="56"/>
      <c r="J3" s="56"/>
      <c r="K3" s="56"/>
      <c r="L3" s="56"/>
      <c r="M3" s="56"/>
    </row>
    <row r="4" spans="1:13" x14ac:dyDescent="0.25">
      <c r="A4" s="56"/>
      <c r="B4" s="56"/>
      <c r="C4" s="56"/>
      <c r="D4" s="56"/>
      <c r="E4" s="56"/>
      <c r="F4" s="56"/>
      <c r="G4" s="56"/>
      <c r="H4" s="56"/>
      <c r="I4" s="56"/>
      <c r="J4" s="56"/>
      <c r="K4" s="56"/>
      <c r="L4" s="56"/>
      <c r="M4" s="56"/>
    </row>
    <row r="5" spans="1:13" x14ac:dyDescent="0.25">
      <c r="A5" s="56"/>
      <c r="B5" s="56"/>
      <c r="C5" s="56"/>
      <c r="D5" s="56"/>
      <c r="E5" s="56"/>
      <c r="F5" s="56"/>
      <c r="G5" s="56"/>
      <c r="H5" s="56"/>
      <c r="I5" s="56"/>
      <c r="J5" s="56"/>
      <c r="K5" s="56"/>
      <c r="L5" s="56"/>
      <c r="M5" s="56"/>
    </row>
    <row r="6" spans="1:13" x14ac:dyDescent="0.25">
      <c r="A6" s="56"/>
      <c r="B6" s="56"/>
      <c r="C6" s="56"/>
      <c r="D6" s="56"/>
      <c r="E6" s="56"/>
      <c r="F6" s="56"/>
      <c r="G6" s="56"/>
      <c r="H6" s="56"/>
      <c r="I6" s="56"/>
      <c r="J6" s="56"/>
      <c r="K6" s="56"/>
      <c r="L6" s="56"/>
      <c r="M6" s="56"/>
    </row>
    <row r="7" spans="1:13" x14ac:dyDescent="0.25">
      <c r="A7" s="56"/>
      <c r="B7" s="56"/>
      <c r="C7" s="56"/>
      <c r="D7" s="56"/>
      <c r="E7" s="56"/>
      <c r="F7" s="56"/>
      <c r="G7" s="56"/>
      <c r="H7" s="56"/>
      <c r="I7" s="56"/>
      <c r="J7" s="56"/>
      <c r="K7" s="56"/>
      <c r="L7" s="56"/>
      <c r="M7" s="56"/>
    </row>
    <row r="8" spans="1:13" x14ac:dyDescent="0.25">
      <c r="A8" s="56"/>
      <c r="B8" s="56"/>
      <c r="C8" s="56"/>
      <c r="D8" s="56"/>
      <c r="E8" s="56"/>
      <c r="F8" s="56"/>
      <c r="G8" s="56"/>
      <c r="H8" s="56"/>
      <c r="I8" s="56"/>
      <c r="J8" s="56"/>
      <c r="K8" s="56"/>
      <c r="L8" s="56"/>
      <c r="M8" s="56"/>
    </row>
    <row r="9" spans="1:13" x14ac:dyDescent="0.25">
      <c r="A9" s="56"/>
      <c r="B9" s="56"/>
      <c r="C9" s="56"/>
      <c r="D9" s="56"/>
      <c r="E9" s="56"/>
      <c r="F9" s="56"/>
      <c r="G9" s="56"/>
      <c r="H9" s="56"/>
      <c r="I9" s="56"/>
      <c r="J9" s="56"/>
      <c r="K9" s="56"/>
      <c r="L9" s="56"/>
      <c r="M9" s="56"/>
    </row>
    <row r="10" spans="1:13" x14ac:dyDescent="0.25">
      <c r="A10" s="56"/>
      <c r="B10" s="56"/>
      <c r="C10" s="56"/>
      <c r="D10" s="56"/>
      <c r="E10" s="56"/>
      <c r="F10" s="56"/>
      <c r="G10" s="56"/>
      <c r="H10" s="56"/>
      <c r="I10" s="56"/>
      <c r="J10" s="56"/>
      <c r="K10" s="56"/>
      <c r="L10" s="56"/>
      <c r="M10" s="56"/>
    </row>
    <row r="11" spans="1:13" x14ac:dyDescent="0.25">
      <c r="A11" s="56"/>
      <c r="B11" s="56"/>
      <c r="C11" s="56"/>
      <c r="D11" s="56"/>
      <c r="E11" s="56"/>
      <c r="F11" s="56"/>
      <c r="G11" s="56"/>
      <c r="H11" s="56"/>
      <c r="I11" s="56"/>
      <c r="J11" s="56"/>
      <c r="K11" s="56"/>
      <c r="L11" s="56"/>
      <c r="M11" s="56"/>
    </row>
    <row r="12" spans="1:13" x14ac:dyDescent="0.25">
      <c r="A12" s="56"/>
      <c r="B12" s="56"/>
      <c r="C12" s="56"/>
      <c r="D12" s="56"/>
      <c r="E12" s="56"/>
      <c r="F12" s="56"/>
      <c r="G12" s="56"/>
      <c r="H12" s="56"/>
      <c r="I12" s="56"/>
      <c r="J12" s="56"/>
      <c r="K12" s="56"/>
      <c r="L12" s="56"/>
      <c r="M12" s="56"/>
    </row>
    <row r="13" spans="1:13" x14ac:dyDescent="0.25">
      <c r="A13" s="56"/>
      <c r="B13" s="56"/>
      <c r="C13" s="56"/>
      <c r="D13" s="56"/>
      <c r="E13" s="56"/>
      <c r="F13" s="56"/>
      <c r="G13" s="56"/>
      <c r="H13" s="56"/>
      <c r="I13" s="56"/>
      <c r="J13" s="56"/>
      <c r="K13" s="56"/>
      <c r="L13" s="56"/>
      <c r="M13" s="56"/>
    </row>
    <row r="14" spans="1:13" x14ac:dyDescent="0.25">
      <c r="A14" s="56"/>
      <c r="B14" s="56"/>
      <c r="C14" s="56"/>
      <c r="D14" s="56"/>
      <c r="E14" s="56"/>
      <c r="F14" s="56"/>
      <c r="G14" s="56"/>
      <c r="H14" s="56"/>
      <c r="I14" s="56"/>
      <c r="J14" s="56"/>
      <c r="K14" s="56"/>
      <c r="L14" s="56"/>
      <c r="M14" s="56"/>
    </row>
    <row r="15" spans="1:13" x14ac:dyDescent="0.25">
      <c r="A15" s="56"/>
      <c r="B15" s="56"/>
      <c r="C15" s="56"/>
      <c r="D15" s="56"/>
      <c r="E15" s="56"/>
      <c r="F15" s="56"/>
      <c r="G15" s="56"/>
      <c r="H15" s="56"/>
      <c r="I15" s="56"/>
      <c r="J15" s="56"/>
      <c r="K15" s="56"/>
      <c r="L15" s="56"/>
      <c r="M15" s="56"/>
    </row>
    <row r="16" spans="1:13" x14ac:dyDescent="0.25">
      <c r="A16" s="56"/>
      <c r="B16" s="56"/>
      <c r="C16" s="56"/>
      <c r="D16" s="56"/>
      <c r="E16" s="56"/>
      <c r="F16" s="56"/>
      <c r="G16" s="56"/>
      <c r="H16" s="56"/>
      <c r="I16" s="56"/>
      <c r="J16" s="56"/>
      <c r="K16" s="56"/>
      <c r="L16" s="56"/>
      <c r="M16" s="56"/>
    </row>
    <row r="17" spans="1:13" x14ac:dyDescent="0.25">
      <c r="A17" s="56"/>
      <c r="B17" s="56"/>
      <c r="C17" s="56"/>
      <c r="D17" s="56"/>
      <c r="E17" s="56"/>
      <c r="F17" s="56"/>
      <c r="G17" s="56"/>
      <c r="H17" s="56"/>
      <c r="I17" s="56"/>
      <c r="J17" s="56"/>
      <c r="K17" s="56"/>
      <c r="L17" s="56"/>
      <c r="M17" s="56"/>
    </row>
    <row r="18" spans="1:13" ht="15.9" customHeight="1" x14ac:dyDescent="0.25">
      <c r="A18" s="56"/>
      <c r="B18" s="56"/>
      <c r="C18" s="56"/>
      <c r="D18" s="56"/>
      <c r="E18" s="56"/>
      <c r="F18" s="56"/>
      <c r="G18" s="56"/>
      <c r="H18" s="56"/>
      <c r="I18" s="56"/>
      <c r="J18" s="56"/>
      <c r="K18" s="56"/>
      <c r="L18" s="56"/>
      <c r="M18" s="56"/>
    </row>
    <row r="19" spans="1:13" x14ac:dyDescent="0.25">
      <c r="A19" s="56"/>
      <c r="B19" s="56"/>
      <c r="C19" s="56"/>
      <c r="D19" s="56"/>
      <c r="E19" s="56"/>
      <c r="F19" s="56"/>
      <c r="G19" s="56"/>
      <c r="H19" s="56"/>
      <c r="I19" s="56"/>
      <c r="J19" s="56"/>
      <c r="K19" s="56"/>
      <c r="L19" s="56"/>
      <c r="M19" s="56"/>
    </row>
    <row r="20" spans="1:13" x14ac:dyDescent="0.25">
      <c r="A20" s="56"/>
      <c r="B20" s="56"/>
      <c r="C20" s="56"/>
      <c r="D20" s="56"/>
      <c r="E20" s="56"/>
      <c r="F20" s="56"/>
      <c r="G20" s="56"/>
      <c r="H20" s="56"/>
      <c r="I20" s="56"/>
      <c r="J20" s="56"/>
      <c r="K20" s="56"/>
      <c r="L20" s="56"/>
      <c r="M20" s="56"/>
    </row>
    <row r="25" spans="1:13" x14ac:dyDescent="0.25">
      <c r="D25" s="6"/>
    </row>
    <row r="26" spans="1:13" x14ac:dyDescent="0.25">
      <c r="B26" s="6"/>
    </row>
  </sheetData>
  <mergeCells count="1">
    <mergeCell ref="A2:M20"/>
  </mergeCells>
  <phoneticPr fontId="8"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67"/>
  <sheetViews>
    <sheetView showGridLines="0" zoomScale="85" zoomScaleNormal="85" workbookViewId="0">
      <pane ySplit="2" topLeftCell="A3" activePane="bottomLeft" state="frozen"/>
      <selection pane="bottomLeft" activeCell="A37" sqref="A4:A37"/>
    </sheetView>
  </sheetViews>
  <sheetFormatPr defaultColWidth="9" defaultRowHeight="15" customHeight="1" x14ac:dyDescent="0.25"/>
  <cols>
    <col min="1" max="1" width="45.5546875" style="47" customWidth="1"/>
    <col min="2" max="2" width="16.44140625" style="48" customWidth="1"/>
    <col min="3" max="3" width="9.5546875" style="48" customWidth="1"/>
    <col min="4" max="4" width="14.88671875" style="48" customWidth="1"/>
    <col min="5" max="7" width="17.88671875" style="48" customWidth="1"/>
    <col min="8" max="8" width="15.77734375" style="48" customWidth="1"/>
    <col min="9" max="9" width="19.77734375" style="48" customWidth="1"/>
    <col min="10" max="10" width="12.33203125" style="36" customWidth="1"/>
    <col min="11" max="12" width="13.21875" style="36" customWidth="1"/>
    <col min="13" max="13" width="21.77734375" style="36" customWidth="1"/>
    <col min="14" max="14" width="18.33203125" style="36" customWidth="1"/>
    <col min="15" max="15" width="19.6640625" style="36" customWidth="1"/>
    <col min="16" max="16" width="22.5546875" style="36" customWidth="1"/>
    <col min="17" max="17" width="31.33203125" style="36" customWidth="1"/>
    <col min="18" max="18" width="30.21875" style="36" customWidth="1"/>
    <col min="19" max="19" width="28" style="36" customWidth="1"/>
    <col min="20" max="20" width="21.6640625" style="36" customWidth="1"/>
    <col min="21" max="21" width="11.6640625" style="36" customWidth="1"/>
    <col min="22" max="22" width="32.88671875" style="36" customWidth="1"/>
    <col min="23" max="23" width="11.6640625" style="36" customWidth="1"/>
    <col min="24" max="24" width="45.33203125" style="36" customWidth="1"/>
    <col min="25" max="25" width="44.109375" style="36" customWidth="1"/>
    <col min="26" max="26" width="21.88671875" style="36" customWidth="1"/>
    <col min="27" max="27" width="20.109375" style="36" customWidth="1"/>
    <col min="28" max="28" width="32.6640625" style="48" customWidth="1"/>
    <col min="29" max="29" width="20.77734375" style="48" customWidth="1"/>
    <col min="30" max="30" width="16.44140625" style="48" customWidth="1"/>
    <col min="31" max="31" width="19.88671875" style="48" customWidth="1"/>
    <col min="32" max="32" width="26.6640625" style="48" customWidth="1"/>
    <col min="33" max="33" width="17.44140625" style="40" customWidth="1"/>
    <col min="34" max="34" width="15.33203125" style="40" customWidth="1"/>
    <col min="35" max="35" width="20.77734375" style="40" customWidth="1"/>
    <col min="36" max="36" width="23" style="40" customWidth="1"/>
    <col min="37" max="37" width="19.88671875" style="38" customWidth="1"/>
    <col min="38" max="16384" width="9" style="38"/>
  </cols>
  <sheetData>
    <row r="1" spans="1:38" ht="38.299999999999997" customHeight="1" x14ac:dyDescent="0.25">
      <c r="A1" s="59" t="s">
        <v>151</v>
      </c>
      <c r="B1" s="59"/>
      <c r="C1" s="59"/>
      <c r="D1" s="59"/>
      <c r="E1" s="60" t="s">
        <v>13</v>
      </c>
      <c r="F1" s="60"/>
      <c r="G1" s="60"/>
      <c r="H1" s="60"/>
      <c r="I1" s="60"/>
      <c r="J1" s="66" t="s">
        <v>14</v>
      </c>
      <c r="K1" s="67"/>
      <c r="L1" s="68"/>
      <c r="M1" s="72" t="s">
        <v>152</v>
      </c>
      <c r="N1" s="73"/>
      <c r="O1" s="73"/>
      <c r="P1" s="73"/>
      <c r="Q1" s="73"/>
      <c r="R1" s="73"/>
      <c r="S1" s="73"/>
      <c r="T1" s="73"/>
      <c r="U1" s="73"/>
      <c r="V1" s="73"/>
      <c r="W1" s="73"/>
      <c r="X1" s="73"/>
      <c r="Y1" s="73"/>
      <c r="Z1" s="73"/>
      <c r="AA1" s="74"/>
      <c r="AB1" s="59" t="s">
        <v>156</v>
      </c>
      <c r="AC1" s="59"/>
      <c r="AD1" s="59"/>
      <c r="AE1" s="61" t="s">
        <v>160</v>
      </c>
      <c r="AF1" s="62"/>
      <c r="AG1" s="59" t="s">
        <v>115</v>
      </c>
      <c r="AH1" s="59"/>
      <c r="AI1" s="59" t="s">
        <v>2</v>
      </c>
      <c r="AJ1" s="59" t="s">
        <v>18</v>
      </c>
      <c r="AK1" s="59" t="s">
        <v>186</v>
      </c>
    </row>
    <row r="2" spans="1:38" ht="47.2" x14ac:dyDescent="0.25">
      <c r="A2" s="59"/>
      <c r="B2" s="59"/>
      <c r="C2" s="59"/>
      <c r="D2" s="59"/>
      <c r="E2" s="60"/>
      <c r="F2" s="60"/>
      <c r="G2" s="60"/>
      <c r="H2" s="60"/>
      <c r="I2" s="60"/>
      <c r="J2" s="69"/>
      <c r="K2" s="70"/>
      <c r="L2" s="71"/>
      <c r="M2" s="57" t="s">
        <v>216</v>
      </c>
      <c r="N2" s="31" t="s">
        <v>217</v>
      </c>
      <c r="O2" s="65" t="s">
        <v>218</v>
      </c>
      <c r="P2" s="65"/>
      <c r="Q2" s="65" t="s">
        <v>219</v>
      </c>
      <c r="R2" s="65"/>
      <c r="S2" s="65" t="s">
        <v>220</v>
      </c>
      <c r="T2" s="65"/>
      <c r="U2" s="65"/>
      <c r="V2" s="65" t="s">
        <v>221</v>
      </c>
      <c r="W2" s="65"/>
      <c r="X2" s="65"/>
      <c r="Y2" s="65"/>
      <c r="Z2" s="31" t="s">
        <v>222</v>
      </c>
      <c r="AA2" s="31" t="s">
        <v>223</v>
      </c>
      <c r="AB2" s="59"/>
      <c r="AC2" s="59"/>
      <c r="AD2" s="59"/>
      <c r="AE2" s="63"/>
      <c r="AF2" s="64"/>
      <c r="AG2" s="59"/>
      <c r="AH2" s="59"/>
      <c r="AI2" s="59"/>
      <c r="AJ2" s="59"/>
      <c r="AK2" s="59"/>
    </row>
    <row r="3" spans="1:38" s="39" customFormat="1" ht="94.55" customHeight="1" x14ac:dyDescent="0.25">
      <c r="A3" s="30" t="s">
        <v>9</v>
      </c>
      <c r="B3" s="32" t="s">
        <v>224</v>
      </c>
      <c r="C3" s="30" t="s">
        <v>12</v>
      </c>
      <c r="D3" s="32" t="s">
        <v>225</v>
      </c>
      <c r="E3" s="33" t="s">
        <v>226</v>
      </c>
      <c r="F3" s="33" t="s">
        <v>227</v>
      </c>
      <c r="G3" s="33" t="s">
        <v>228</v>
      </c>
      <c r="H3" s="33" t="s">
        <v>229</v>
      </c>
      <c r="I3" s="33" t="s">
        <v>230</v>
      </c>
      <c r="J3" s="34" t="s">
        <v>157</v>
      </c>
      <c r="K3" s="34" t="s">
        <v>158</v>
      </c>
      <c r="L3" s="34" t="s">
        <v>191</v>
      </c>
      <c r="M3" s="58"/>
      <c r="N3" s="35" t="s">
        <v>150</v>
      </c>
      <c r="O3" s="35" t="s">
        <v>162</v>
      </c>
      <c r="P3" s="35" t="s">
        <v>211</v>
      </c>
      <c r="Q3" s="35" t="s">
        <v>212</v>
      </c>
      <c r="R3" s="35" t="s">
        <v>210</v>
      </c>
      <c r="S3" s="35" t="s">
        <v>176</v>
      </c>
      <c r="T3" s="35" t="s">
        <v>192</v>
      </c>
      <c r="U3" s="35" t="s">
        <v>153</v>
      </c>
      <c r="V3" s="35" t="s">
        <v>204</v>
      </c>
      <c r="W3" s="35" t="s">
        <v>154</v>
      </c>
      <c r="X3" s="35" t="s">
        <v>155</v>
      </c>
      <c r="Y3" s="35" t="s">
        <v>161</v>
      </c>
      <c r="Z3" s="35" t="s">
        <v>213</v>
      </c>
      <c r="AA3" s="31" t="s">
        <v>214</v>
      </c>
      <c r="AB3" s="30" t="s">
        <v>0</v>
      </c>
      <c r="AC3" s="30" t="s">
        <v>1</v>
      </c>
      <c r="AD3" s="30" t="s">
        <v>3</v>
      </c>
      <c r="AE3" s="30" t="s">
        <v>193</v>
      </c>
      <c r="AF3" s="30" t="s">
        <v>189</v>
      </c>
      <c r="AG3" s="30" t="s">
        <v>4</v>
      </c>
      <c r="AH3" s="30" t="s">
        <v>5</v>
      </c>
      <c r="AI3" s="59"/>
      <c r="AJ3" s="59"/>
      <c r="AK3" s="59"/>
    </row>
    <row r="4" spans="1:38" ht="15" customHeight="1" x14ac:dyDescent="0.25">
      <c r="A4" s="47" t="s">
        <v>365</v>
      </c>
      <c r="B4" s="48" t="s">
        <v>278</v>
      </c>
      <c r="C4" s="48">
        <v>2024</v>
      </c>
      <c r="D4" s="48" t="s">
        <v>262</v>
      </c>
      <c r="E4" s="48" t="s">
        <v>366</v>
      </c>
      <c r="F4" s="48" t="str">
        <f>IFERROR(VLOOKUP($E4,客户清单!B:G,2,0),"")</f>
        <v>民营银行</v>
      </c>
      <c r="G4" s="48" t="str">
        <f>IFERROR(VLOOKUP($E4,客户清单!B:G,3,0),"")</f>
        <v>商业银行</v>
      </c>
      <c r="H4" s="48" t="str">
        <f>IFERROR(VLOOKUP($E4,客户清单!B:G,4,0),"")</f>
        <v>银行业</v>
      </c>
      <c r="I4" s="48" t="str">
        <f>IF(VLOOKUP($E4,客户清单!B:G,6,0)=0,"&lt;暂未更新&gt;",VLOOKUP($E4,客户清单!B:G,6,0))</f>
        <v>&lt;暂未更新&gt;</v>
      </c>
      <c r="J4" s="36" t="s">
        <v>367</v>
      </c>
      <c r="L4" s="36" t="s">
        <v>368</v>
      </c>
      <c r="X4" s="36" t="s">
        <v>369</v>
      </c>
      <c r="AB4" s="49" t="s">
        <v>370</v>
      </c>
      <c r="AC4" s="48" t="s">
        <v>371</v>
      </c>
      <c r="AD4" s="48" t="s">
        <v>265</v>
      </c>
      <c r="AE4" s="48" t="str">
        <f>IFERROR(HYPERLINK("#'通用补充信息'!A"&amp;MATCH(A4, 通用补充信息!A:A, 0), "&gt;&gt;&gt;通用补充信息&lt;&lt;&lt;"), "&gt;&gt;&gt;暂无补充&lt;&lt;&lt;")</f>
        <v>&gt;&gt;&gt;通用补充信息&lt;&lt;&lt;</v>
      </c>
      <c r="AF4" s="48" t="str">
        <f>IFERROR(HYPERLINK("#'数据应用类补充信息'!A"&amp;MATCH(A4, 数据应用类补充信息!A:A, 0), "&gt;&gt;&gt;数据应用类补充信息&lt;&lt;&lt;"), "&gt;&gt;&gt;暂无补充&lt;&lt;&lt;")</f>
        <v>&gt;&gt;&gt;数据应用类补充信息&lt;&lt;&lt;</v>
      </c>
      <c r="AG4" s="48"/>
      <c r="AH4" s="48" t="s">
        <v>266</v>
      </c>
      <c r="AI4" s="48" t="s">
        <v>372</v>
      </c>
      <c r="AJ4" s="48"/>
      <c r="AK4" s="47"/>
      <c r="AL4" s="54" t="s">
        <v>322</v>
      </c>
    </row>
    <row r="5" spans="1:38" ht="15" customHeight="1" x14ac:dyDescent="0.25">
      <c r="A5" s="47" t="s">
        <v>376</v>
      </c>
      <c r="B5" s="48" t="s">
        <v>377</v>
      </c>
      <c r="C5" s="48">
        <v>2024</v>
      </c>
      <c r="D5" s="48" t="s">
        <v>269</v>
      </c>
      <c r="E5" s="48" t="s">
        <v>378</v>
      </c>
      <c r="F5" s="48" t="str">
        <f>IFERROR(VLOOKUP($E5,客户清单!B:G,2,0),"")</f>
        <v>民营银行</v>
      </c>
      <c r="G5" s="48" t="str">
        <f>IFERROR(VLOOKUP($E5,客户清单!B:G,3,0),"")</f>
        <v>商业银行</v>
      </c>
      <c r="H5" s="48" t="str">
        <f>IFERROR(VLOOKUP($E5,客户清单!B:G,4,0),"")</f>
        <v>银行业</v>
      </c>
      <c r="I5" s="48" t="str">
        <f>IF(VLOOKUP($E5,客户清单!B:G,6,0)=0,"&lt;暂未更新&gt;",VLOOKUP($E5,客户清单!B:G,6,0))</f>
        <v>&lt;暂未更新&gt;</v>
      </c>
      <c r="J5" s="36" t="s">
        <v>379</v>
      </c>
      <c r="L5" s="36" t="s">
        <v>380</v>
      </c>
      <c r="N5" s="36" t="s">
        <v>312</v>
      </c>
      <c r="O5" s="36" t="s">
        <v>264</v>
      </c>
      <c r="P5" s="36" t="s">
        <v>268</v>
      </c>
      <c r="Q5" s="36" t="s">
        <v>268</v>
      </c>
      <c r="R5" s="36" t="s">
        <v>268</v>
      </c>
      <c r="S5" s="36" t="s">
        <v>307</v>
      </c>
      <c r="T5" s="36" t="s">
        <v>268</v>
      </c>
      <c r="U5" s="36" t="s">
        <v>337</v>
      </c>
      <c r="V5" s="36" t="s">
        <v>268</v>
      </c>
      <c r="W5" s="36" t="s">
        <v>268</v>
      </c>
      <c r="X5" s="36" t="s">
        <v>268</v>
      </c>
      <c r="Y5" s="36" t="s">
        <v>268</v>
      </c>
      <c r="AB5" s="49" t="s">
        <v>381</v>
      </c>
      <c r="AC5" s="48" t="s">
        <v>382</v>
      </c>
      <c r="AD5" s="48" t="s">
        <v>265</v>
      </c>
      <c r="AE5" s="48" t="str">
        <f>IFERROR(HYPERLINK("#'通用补充信息'!A"&amp;MATCH(A5, 通用补充信息!A:A, 0), "&gt;&gt;&gt;通用补充信息&lt;&lt;&lt;"), "&gt;&gt;&gt;暂无补充&lt;&lt;&lt;")</f>
        <v>&gt;&gt;&gt;通用补充信息&lt;&lt;&lt;</v>
      </c>
      <c r="AF5" s="48" t="str">
        <f>IFERROR(HYPERLINK("#'数据应用类补充信息'!A"&amp;MATCH(A5, 数据应用类补充信息!A:A, 0), "&gt;&gt;&gt;数据应用类补充信息&lt;&lt;&lt;"), "&gt;&gt;&gt;暂无补充&lt;&lt;&lt;")</f>
        <v>&gt;&gt;&gt;数据应用类补充信息&lt;&lt;&lt;</v>
      </c>
      <c r="AG5" s="48"/>
      <c r="AH5" s="48" t="s">
        <v>266</v>
      </c>
      <c r="AI5" s="48" t="s">
        <v>383</v>
      </c>
      <c r="AJ5" s="48"/>
      <c r="AK5" s="47"/>
    </row>
    <row r="6" spans="1:38" ht="15" customHeight="1" x14ac:dyDescent="0.25">
      <c r="A6" s="47" t="s">
        <v>384</v>
      </c>
      <c r="B6" s="48" t="s">
        <v>285</v>
      </c>
      <c r="C6" s="48">
        <v>2024</v>
      </c>
      <c r="D6" s="48" t="s">
        <v>262</v>
      </c>
      <c r="E6" s="48" t="s">
        <v>385</v>
      </c>
      <c r="F6" s="48" t="str">
        <f>IFERROR(VLOOKUP($E6,客户清单!B:G,2,0),"")</f>
        <v>城商行</v>
      </c>
      <c r="G6" s="48" t="str">
        <f>IFERROR(VLOOKUP($E6,客户清单!B:G,3,0),"")</f>
        <v>商业银行</v>
      </c>
      <c r="H6" s="48" t="str">
        <f>IFERROR(VLOOKUP($E6,客户清单!B:G,4,0),"")</f>
        <v>银行业</v>
      </c>
      <c r="I6" s="48" t="str">
        <f>IF(VLOOKUP($E6,客户清单!B:G,6,0)=0,"&lt;暂未更新&gt;",VLOOKUP($E6,客户清单!B:G,6,0))</f>
        <v>&lt;暂未更新&gt;</v>
      </c>
      <c r="J6" s="36" t="s">
        <v>386</v>
      </c>
      <c r="L6" s="36" t="s">
        <v>387</v>
      </c>
      <c r="N6" s="36" t="s">
        <v>268</v>
      </c>
      <c r="O6" s="36" t="s">
        <v>268</v>
      </c>
      <c r="P6" s="36" t="s">
        <v>268</v>
      </c>
      <c r="Q6" s="36" t="s">
        <v>268</v>
      </c>
      <c r="R6" s="36" t="s">
        <v>268</v>
      </c>
      <c r="S6" s="36" t="s">
        <v>388</v>
      </c>
      <c r="T6" s="36" t="s">
        <v>268</v>
      </c>
      <c r="U6" s="36" t="s">
        <v>268</v>
      </c>
      <c r="V6" s="36" t="s">
        <v>389</v>
      </c>
      <c r="W6" s="36" t="s">
        <v>268</v>
      </c>
      <c r="X6" s="36" t="s">
        <v>268</v>
      </c>
      <c r="Y6" s="36" t="s">
        <v>268</v>
      </c>
      <c r="Z6" s="36" t="s">
        <v>268</v>
      </c>
      <c r="AA6" s="36" t="s">
        <v>268</v>
      </c>
      <c r="AB6" s="49" t="s">
        <v>390</v>
      </c>
      <c r="AC6" s="48" t="s">
        <v>391</v>
      </c>
      <c r="AD6" s="48" t="s">
        <v>265</v>
      </c>
      <c r="AE6" s="48" t="str">
        <f>IFERROR(HYPERLINK("#'通用补充信息'!A"&amp;MATCH(A6, 通用补充信息!A:A, 0), "&gt;&gt;&gt;通用补充信息&lt;&lt;&lt;"), "&gt;&gt;&gt;暂无补充&lt;&lt;&lt;")</f>
        <v>&gt;&gt;&gt;通用补充信息&lt;&lt;&lt;</v>
      </c>
      <c r="AF6" s="48" t="str">
        <f>IFERROR(HYPERLINK("#'数据应用类补充信息'!A"&amp;MATCH(A6, 数据应用类补充信息!A:A, 0), "&gt;&gt;&gt;数据应用类补充信息&lt;&lt;&lt;"), "&gt;&gt;&gt;暂无补充&lt;&lt;&lt;")</f>
        <v>&gt;&gt;&gt;数据应用类补充信息&lt;&lt;&lt;</v>
      </c>
      <c r="AG6" s="48"/>
      <c r="AH6" s="48" t="s">
        <v>277</v>
      </c>
      <c r="AI6" s="48" t="s">
        <v>392</v>
      </c>
      <c r="AJ6" s="48"/>
      <c r="AK6" s="47"/>
    </row>
    <row r="7" spans="1:38" ht="15" customHeight="1" x14ac:dyDescent="0.25">
      <c r="A7" s="47" t="s">
        <v>401</v>
      </c>
      <c r="B7" s="48" t="s">
        <v>402</v>
      </c>
      <c r="C7" s="48">
        <v>2024</v>
      </c>
      <c r="D7" s="48" t="s">
        <v>262</v>
      </c>
      <c r="E7" s="48" t="s">
        <v>385</v>
      </c>
      <c r="F7" s="48" t="str">
        <f>IFERROR(VLOOKUP($E7,客户清单!B:G,2,0),"")</f>
        <v>城商行</v>
      </c>
      <c r="G7" s="48" t="str">
        <f>IFERROR(VLOOKUP($E7,客户清单!B:G,3,0),"")</f>
        <v>商业银行</v>
      </c>
      <c r="H7" s="48" t="str">
        <f>IFERROR(VLOOKUP($E7,客户清单!B:G,4,0),"")</f>
        <v>银行业</v>
      </c>
      <c r="I7" s="48" t="str">
        <f>IF(VLOOKUP($E7,客户清单!B:G,6,0)=0,"&lt;暂未更新&gt;",VLOOKUP($E7,客户清单!B:G,6,0))</f>
        <v>&lt;暂未更新&gt;</v>
      </c>
      <c r="J7" s="36" t="s">
        <v>386</v>
      </c>
      <c r="L7" s="36" t="s">
        <v>403</v>
      </c>
      <c r="N7" s="36" t="s">
        <v>268</v>
      </c>
      <c r="O7" s="36" t="s">
        <v>268</v>
      </c>
      <c r="P7" s="36" t="s">
        <v>268</v>
      </c>
      <c r="Q7" s="36" t="s">
        <v>268</v>
      </c>
      <c r="R7" s="36" t="s">
        <v>268</v>
      </c>
      <c r="S7" s="36" t="s">
        <v>388</v>
      </c>
      <c r="T7" s="36" t="s">
        <v>268</v>
      </c>
      <c r="U7" s="36" t="s">
        <v>268</v>
      </c>
      <c r="V7" s="36" t="s">
        <v>404</v>
      </c>
      <c r="W7" s="36" t="s">
        <v>268</v>
      </c>
      <c r="X7" s="36" t="s">
        <v>268</v>
      </c>
      <c r="Y7" s="37" t="s">
        <v>268</v>
      </c>
      <c r="Z7" s="36" t="s">
        <v>268</v>
      </c>
      <c r="AA7" s="36" t="s">
        <v>268</v>
      </c>
      <c r="AB7" s="49" t="s">
        <v>405</v>
      </c>
      <c r="AC7" s="48" t="s">
        <v>406</v>
      </c>
      <c r="AD7" s="48" t="s">
        <v>265</v>
      </c>
      <c r="AE7" s="48" t="str">
        <f>IFERROR(HYPERLINK("#'通用补充信息'!A"&amp;MATCH(A7, 通用补充信息!A:A, 0), "&gt;&gt;&gt;通用补充信息&lt;&lt;&lt;"), "&gt;&gt;&gt;暂无补充&lt;&lt;&lt;")</f>
        <v>&gt;&gt;&gt;通用补充信息&lt;&lt;&lt;</v>
      </c>
      <c r="AF7" s="48" t="str">
        <f>IFERROR(HYPERLINK("#'数据应用类补充信息'!A"&amp;MATCH(A7, 数据应用类补充信息!A:A, 0), "&gt;&gt;&gt;数据应用类补充信息&lt;&lt;&lt;"), "&gt;&gt;&gt;暂无补充&lt;&lt;&lt;")</f>
        <v>&gt;&gt;&gt;数据应用类补充信息&lt;&lt;&lt;</v>
      </c>
      <c r="AG7" s="48"/>
      <c r="AH7" s="48" t="s">
        <v>277</v>
      </c>
      <c r="AI7" s="48" t="s">
        <v>407</v>
      </c>
      <c r="AJ7" s="48"/>
      <c r="AK7" s="47"/>
    </row>
    <row r="8" spans="1:38" ht="15" customHeight="1" x14ac:dyDescent="0.25">
      <c r="A8" s="47" t="s">
        <v>409</v>
      </c>
      <c r="B8" s="48" t="s">
        <v>261</v>
      </c>
      <c r="C8" s="48">
        <v>2024</v>
      </c>
      <c r="D8" s="48" t="s">
        <v>269</v>
      </c>
      <c r="E8" s="48" t="s">
        <v>410</v>
      </c>
      <c r="F8" s="48" t="str">
        <f>IFERROR(VLOOKUP($E8,客户清单!B:G,2,0),"")</f>
        <v>城商行</v>
      </c>
      <c r="G8" s="48" t="str">
        <f>IFERROR(VLOOKUP($E8,客户清单!B:G,3,0),"")</f>
        <v>商业银行</v>
      </c>
      <c r="H8" s="48" t="str">
        <f>IFERROR(VLOOKUP($E8,客户清单!B:G,4,0),"")</f>
        <v>银行业</v>
      </c>
      <c r="I8" s="48" t="str">
        <f>IF(VLOOKUP($E8,客户清单!B:G,6,0)=0,"&lt;暂未更新&gt;",VLOOKUP($E8,客户清单!B:G,6,0))</f>
        <v>&lt;暂未更新&gt;</v>
      </c>
      <c r="J8" s="36" t="s">
        <v>309</v>
      </c>
      <c r="K8" s="36" t="s">
        <v>411</v>
      </c>
      <c r="L8" s="36" t="s">
        <v>412</v>
      </c>
      <c r="W8" s="36" t="s">
        <v>119</v>
      </c>
      <c r="AB8" s="49" t="s">
        <v>413</v>
      </c>
      <c r="AC8" s="48" t="s">
        <v>414</v>
      </c>
      <c r="AD8" s="48" t="s">
        <v>415</v>
      </c>
      <c r="AE8" s="48" t="str">
        <f>IFERROR(HYPERLINK("#'通用补充信息'!A"&amp;MATCH(A8, 通用补充信息!A:A, 0), "&gt;&gt;&gt;通用补充信息&lt;&lt;&lt;"), "&gt;&gt;&gt;暂无补充&lt;&lt;&lt;")</f>
        <v>&gt;&gt;&gt;通用补充信息&lt;&lt;&lt;</v>
      </c>
      <c r="AF8" s="48" t="str">
        <f>IFERROR(HYPERLINK("#'数据应用类补充信息'!A"&amp;MATCH(A8, 数据应用类补充信息!A:A, 0), "&gt;&gt;&gt;数据应用类补充信息&lt;&lt;&lt;"), "&gt;&gt;&gt;暂无补充&lt;&lt;&lt;")</f>
        <v>&gt;&gt;&gt;数据应用类补充信息&lt;&lt;&lt;</v>
      </c>
      <c r="AG8" s="48"/>
      <c r="AH8" s="48" t="s">
        <v>277</v>
      </c>
      <c r="AI8" s="48" t="s">
        <v>416</v>
      </c>
      <c r="AJ8" s="48"/>
      <c r="AK8" s="47"/>
    </row>
    <row r="9" spans="1:38" ht="15" customHeight="1" x14ac:dyDescent="0.25">
      <c r="A9" s="47" t="s">
        <v>418</v>
      </c>
      <c r="B9" s="48" t="s">
        <v>276</v>
      </c>
      <c r="C9" s="48">
        <v>2024</v>
      </c>
      <c r="D9" s="48" t="s">
        <v>269</v>
      </c>
      <c r="E9" s="48" t="s">
        <v>419</v>
      </c>
      <c r="F9" s="48">
        <f>IFERROR(VLOOKUP($E9,客户清单!B:G,2,0),"")</f>
        <v>0</v>
      </c>
      <c r="G9" s="48" t="str">
        <f>IFERROR(VLOOKUP($E9,客户清单!B:G,3,0),"")</f>
        <v/>
      </c>
      <c r="H9" s="48" t="str">
        <f>IFERROR(VLOOKUP($E9,客户清单!B:G,4,0),"")</f>
        <v/>
      </c>
      <c r="I9" s="48" t="str">
        <f>IF(VLOOKUP($E9,客户清单!B:G,6,0)=0,"&lt;暂未更新&gt;",VLOOKUP($E9,客户清单!B:G,6,0))</f>
        <v>&lt;暂未更新&gt;</v>
      </c>
      <c r="J9" s="36" t="s">
        <v>420</v>
      </c>
      <c r="K9" s="36" t="s">
        <v>421</v>
      </c>
      <c r="L9" s="36" t="s">
        <v>422</v>
      </c>
      <c r="N9" s="36" t="s">
        <v>268</v>
      </c>
      <c r="O9" s="36" t="s">
        <v>423</v>
      </c>
      <c r="P9" s="36" t="s">
        <v>268</v>
      </c>
      <c r="Q9" s="36" t="s">
        <v>268</v>
      </c>
      <c r="R9" s="36" t="s">
        <v>268</v>
      </c>
      <c r="S9" s="36" t="s">
        <v>268</v>
      </c>
      <c r="T9" s="36" t="s">
        <v>356</v>
      </c>
      <c r="U9" s="36" t="s">
        <v>268</v>
      </c>
      <c r="V9" s="36" t="s">
        <v>268</v>
      </c>
      <c r="W9" s="36" t="s">
        <v>424</v>
      </c>
      <c r="X9" s="36" t="s">
        <v>127</v>
      </c>
      <c r="Y9" s="36" t="s">
        <v>268</v>
      </c>
      <c r="Z9" s="36" t="s">
        <v>268</v>
      </c>
      <c r="AA9" s="36" t="s">
        <v>268</v>
      </c>
      <c r="AB9" s="49" t="s">
        <v>425</v>
      </c>
      <c r="AC9" s="48" t="s">
        <v>426</v>
      </c>
      <c r="AD9" s="48" t="s">
        <v>265</v>
      </c>
      <c r="AE9" s="48" t="str">
        <f>IFERROR(HYPERLINK("#'通用补充信息'!A"&amp;MATCH(A9, 通用补充信息!A:A, 0), "&gt;&gt;&gt;通用补充信息&lt;&lt;&lt;"), "&gt;&gt;&gt;暂无补充&lt;&lt;&lt;")</f>
        <v>&gt;&gt;&gt;通用补充信息&lt;&lt;&lt;</v>
      </c>
      <c r="AF9" s="48" t="str">
        <f>IFERROR(HYPERLINK("#'数据应用类补充信息'!A"&amp;MATCH(A9, 数据应用类补充信息!A:A, 0), "&gt;&gt;&gt;数据应用类补充信息&lt;&lt;&lt;"), "&gt;&gt;&gt;暂无补充&lt;&lt;&lt;")</f>
        <v>&gt;&gt;&gt;数据应用类补充信息&lt;&lt;&lt;</v>
      </c>
      <c r="AG9" s="48"/>
      <c r="AH9" s="48" t="s">
        <v>271</v>
      </c>
      <c r="AI9" s="48" t="s">
        <v>427</v>
      </c>
      <c r="AJ9" s="48"/>
      <c r="AK9" s="47"/>
    </row>
    <row r="10" spans="1:38" ht="15" customHeight="1" x14ac:dyDescent="0.25">
      <c r="A10" s="47" t="s">
        <v>428</v>
      </c>
      <c r="B10" s="48" t="s">
        <v>276</v>
      </c>
      <c r="C10" s="48">
        <v>2024</v>
      </c>
      <c r="D10" s="48" t="s">
        <v>262</v>
      </c>
      <c r="E10" s="48" t="s">
        <v>294</v>
      </c>
      <c r="F10" s="48" t="str">
        <f>IFERROR(VLOOKUP($E10,客户清单!B:G,2,0),"")</f>
        <v>城商行</v>
      </c>
      <c r="G10" s="48" t="str">
        <f>IFERROR(VLOOKUP($E10,客户清单!B:G,3,0),"")</f>
        <v>商业银行</v>
      </c>
      <c r="H10" s="48" t="str">
        <f>IFERROR(VLOOKUP($E10,客户清单!B:G,4,0),"")</f>
        <v>银行业</v>
      </c>
      <c r="I10" s="48" t="str">
        <f>IF(VLOOKUP($E10,客户清单!B:G,6,0)=0,"&lt;暂未更新&gt;",VLOOKUP($E10,客户清单!B:G,6,0))</f>
        <v>&lt;暂未更新&gt;</v>
      </c>
      <c r="J10" s="36" t="s">
        <v>379</v>
      </c>
      <c r="L10" s="36" t="s">
        <v>429</v>
      </c>
      <c r="N10" s="36" t="s">
        <v>312</v>
      </c>
      <c r="O10" s="36" t="s">
        <v>264</v>
      </c>
      <c r="P10" s="36" t="s">
        <v>268</v>
      </c>
      <c r="Q10" s="36" t="s">
        <v>268</v>
      </c>
      <c r="R10" s="36" t="s">
        <v>268</v>
      </c>
      <c r="S10" s="36" t="s">
        <v>268</v>
      </c>
      <c r="T10" s="36" t="s">
        <v>268</v>
      </c>
      <c r="U10" s="36" t="s">
        <v>268</v>
      </c>
      <c r="V10" s="36" t="s">
        <v>268</v>
      </c>
      <c r="W10" s="36" t="s">
        <v>268</v>
      </c>
      <c r="X10" s="36" t="s">
        <v>268</v>
      </c>
      <c r="Y10" s="36" t="s">
        <v>268</v>
      </c>
      <c r="AB10" s="49" t="s">
        <v>430</v>
      </c>
      <c r="AC10" s="48" t="s">
        <v>431</v>
      </c>
      <c r="AD10" s="48" t="s">
        <v>265</v>
      </c>
      <c r="AE10" s="48" t="str">
        <f>IFERROR(HYPERLINK("#'通用补充信息'!A"&amp;MATCH(A10, 通用补充信息!A:A, 0), "&gt;&gt;&gt;通用补充信息&lt;&lt;&lt;"), "&gt;&gt;&gt;暂无补充&lt;&lt;&lt;")</f>
        <v>&gt;&gt;&gt;通用补充信息&lt;&lt;&lt;</v>
      </c>
      <c r="AF10" s="48" t="str">
        <f>IFERROR(HYPERLINK("#'数据应用类补充信息'!A"&amp;MATCH(A10, 数据应用类补充信息!A:A, 0), "&gt;&gt;&gt;数据应用类补充信息&lt;&lt;&lt;"), "&gt;&gt;&gt;暂无补充&lt;&lt;&lt;")</f>
        <v>&gt;&gt;&gt;数据应用类补充信息&lt;&lt;&lt;</v>
      </c>
      <c r="AG10" s="48"/>
      <c r="AH10" s="48" t="s">
        <v>266</v>
      </c>
      <c r="AI10" s="48" t="s">
        <v>432</v>
      </c>
      <c r="AJ10" s="48"/>
      <c r="AK10" s="47"/>
    </row>
    <row r="11" spans="1:38" ht="15" customHeight="1" x14ac:dyDescent="0.25">
      <c r="A11" s="47" t="s">
        <v>433</v>
      </c>
      <c r="B11" s="48" t="s">
        <v>261</v>
      </c>
      <c r="C11" s="48">
        <v>2024</v>
      </c>
      <c r="D11" s="48" t="s">
        <v>262</v>
      </c>
      <c r="E11" s="48" t="s">
        <v>294</v>
      </c>
      <c r="F11" s="48" t="str">
        <f>IFERROR(VLOOKUP($E11,客户清单!B:G,2,0),"")</f>
        <v>城商行</v>
      </c>
      <c r="G11" s="48" t="str">
        <f>IFERROR(VLOOKUP($E11,客户清单!B:G,3,0),"")</f>
        <v>商业银行</v>
      </c>
      <c r="H11" s="48" t="str">
        <f>IFERROR(VLOOKUP($E11,客户清单!B:G,4,0),"")</f>
        <v>银行业</v>
      </c>
      <c r="I11" s="48" t="str">
        <f>IF(VLOOKUP($E11,客户清单!B:G,6,0)=0,"&lt;暂未更新&gt;",VLOOKUP($E11,客户清单!B:G,6,0))</f>
        <v>&lt;暂未更新&gt;</v>
      </c>
      <c r="J11" s="36" t="s">
        <v>350</v>
      </c>
      <c r="K11" s="36" t="s">
        <v>350</v>
      </c>
      <c r="L11" s="36" t="s">
        <v>434</v>
      </c>
      <c r="N11" s="36" t="s">
        <v>268</v>
      </c>
      <c r="O11" s="36" t="s">
        <v>435</v>
      </c>
      <c r="P11" s="36" t="s">
        <v>336</v>
      </c>
      <c r="Q11" s="36" t="s">
        <v>436</v>
      </c>
      <c r="R11" s="36" t="s">
        <v>437</v>
      </c>
      <c r="S11" s="36" t="s">
        <v>438</v>
      </c>
      <c r="T11" s="36" t="s">
        <v>268</v>
      </c>
      <c r="U11" s="36" t="s">
        <v>268</v>
      </c>
      <c r="V11" s="36" t="s">
        <v>268</v>
      </c>
      <c r="W11" s="36" t="s">
        <v>268</v>
      </c>
      <c r="X11" s="36" t="s">
        <v>268</v>
      </c>
      <c r="Y11" s="37" t="s">
        <v>268</v>
      </c>
      <c r="Z11" s="36" t="s">
        <v>268</v>
      </c>
      <c r="AA11" s="36" t="s">
        <v>268</v>
      </c>
      <c r="AB11" s="49" t="s">
        <v>439</v>
      </c>
      <c r="AC11" s="48" t="s">
        <v>440</v>
      </c>
      <c r="AD11" s="48" t="s">
        <v>265</v>
      </c>
      <c r="AE11" s="48" t="str">
        <f>IFERROR(HYPERLINK("#'通用补充信息'!A"&amp;MATCH(A11, 通用补充信息!A:A, 0), "&gt;&gt;&gt;通用补充信息&lt;&lt;&lt;"), "&gt;&gt;&gt;暂无补充&lt;&lt;&lt;")</f>
        <v>&gt;&gt;&gt;通用补充信息&lt;&lt;&lt;</v>
      </c>
      <c r="AF11" s="48" t="str">
        <f>IFERROR(HYPERLINK("#'数据应用类补充信息'!A"&amp;MATCH(A11, 数据应用类补充信息!A:A, 0), "&gt;&gt;&gt;数据应用类补充信息&lt;&lt;&lt;"), "&gt;&gt;&gt;暂无补充&lt;&lt;&lt;")</f>
        <v>&gt;&gt;&gt;数据应用类补充信息&lt;&lt;&lt;</v>
      </c>
      <c r="AG11" s="48"/>
      <c r="AH11" s="48" t="s">
        <v>271</v>
      </c>
      <c r="AI11" s="48" t="s">
        <v>441</v>
      </c>
      <c r="AJ11" s="48"/>
      <c r="AK11" s="47"/>
    </row>
    <row r="12" spans="1:38" ht="15" customHeight="1" x14ac:dyDescent="0.25">
      <c r="A12" s="47" t="s">
        <v>448</v>
      </c>
      <c r="B12" s="48" t="s">
        <v>325</v>
      </c>
      <c r="C12" s="48">
        <v>2024</v>
      </c>
      <c r="D12" s="48" t="s">
        <v>269</v>
      </c>
      <c r="E12" s="48" t="s">
        <v>449</v>
      </c>
      <c r="F12" s="48">
        <f>IFERROR(VLOOKUP($E12,客户清单!B:G,2,0),"")</f>
        <v>0</v>
      </c>
      <c r="G12" s="48" t="str">
        <f>IFERROR(VLOOKUP($E12,客户清单!B:G,3,0),"")</f>
        <v/>
      </c>
      <c r="H12" s="48" t="str">
        <f>IFERROR(VLOOKUP($E12,客户清单!B:G,4,0),"")</f>
        <v/>
      </c>
      <c r="I12" s="48" t="str">
        <f>IF(VLOOKUP($E12,客户清单!B:G,6,0)=0,"&lt;暂未更新&gt;",VLOOKUP($E12,客户清单!B:G,6,0))</f>
        <v>&lt;暂未更新&gt;</v>
      </c>
      <c r="J12" s="36" t="s">
        <v>450</v>
      </c>
      <c r="L12" s="36" t="s">
        <v>451</v>
      </c>
      <c r="N12" s="36" t="s">
        <v>452</v>
      </c>
      <c r="O12" s="36" t="s">
        <v>453</v>
      </c>
      <c r="P12" s="36" t="s">
        <v>454</v>
      </c>
      <c r="Q12" s="36" t="s">
        <v>268</v>
      </c>
      <c r="R12" s="36" t="s">
        <v>268</v>
      </c>
      <c r="S12" s="36" t="s">
        <v>268</v>
      </c>
      <c r="T12" s="36" t="s">
        <v>268</v>
      </c>
      <c r="U12" s="36" t="s">
        <v>455</v>
      </c>
      <c r="V12" s="36" t="s">
        <v>268</v>
      </c>
      <c r="W12" s="36" t="s">
        <v>268</v>
      </c>
      <c r="X12" s="36" t="s">
        <v>268</v>
      </c>
      <c r="Y12" s="36" t="s">
        <v>268</v>
      </c>
      <c r="Z12" s="36" t="s">
        <v>268</v>
      </c>
      <c r="AA12" s="36" t="s">
        <v>268</v>
      </c>
      <c r="AB12" s="49" t="s">
        <v>456</v>
      </c>
      <c r="AC12" s="48" t="s">
        <v>457</v>
      </c>
      <c r="AD12" s="48" t="s">
        <v>265</v>
      </c>
      <c r="AE12" s="48" t="str">
        <f>IFERROR(HYPERLINK("#'通用补充信息'!A"&amp;MATCH(A12, 通用补充信息!A:A, 0), "&gt;&gt;&gt;通用补充信息&lt;&lt;&lt;"), "&gt;&gt;&gt;暂无补充&lt;&lt;&lt;")</f>
        <v>&gt;&gt;&gt;通用补充信息&lt;&lt;&lt;</v>
      </c>
      <c r="AF12" s="48" t="str">
        <f>IFERROR(HYPERLINK("#'数据应用类补充信息'!A"&amp;MATCH(A12, 数据应用类补充信息!A:A, 0), "&gt;&gt;&gt;数据应用类补充信息&lt;&lt;&lt;"), "&gt;&gt;&gt;暂无补充&lt;&lt;&lt;")</f>
        <v>&gt;&gt;&gt;数据应用类补充信息&lt;&lt;&lt;</v>
      </c>
      <c r="AG12" s="48"/>
      <c r="AH12" s="48" t="s">
        <v>271</v>
      </c>
      <c r="AI12" s="48" t="s">
        <v>458</v>
      </c>
      <c r="AJ12" s="48"/>
      <c r="AK12" s="47"/>
    </row>
    <row r="13" spans="1:38" ht="15" customHeight="1" x14ac:dyDescent="0.25">
      <c r="A13" s="47" t="s">
        <v>464</v>
      </c>
      <c r="B13" s="48" t="s">
        <v>278</v>
      </c>
      <c r="C13" s="48">
        <v>2024</v>
      </c>
      <c r="D13" s="48" t="s">
        <v>269</v>
      </c>
      <c r="E13" s="48" t="s">
        <v>465</v>
      </c>
      <c r="F13" s="48">
        <f>IFERROR(VLOOKUP($E13,客户清单!B:G,2,0),"")</f>
        <v>0</v>
      </c>
      <c r="G13" s="48" t="str">
        <f>IFERROR(VLOOKUP($E13,客户清单!B:G,3,0),"")</f>
        <v/>
      </c>
      <c r="H13" s="48" t="str">
        <f>IFERROR(VLOOKUP($E13,客户清单!B:G,4,0),"")</f>
        <v/>
      </c>
      <c r="I13" s="48" t="str">
        <f>IF(VLOOKUP($E13,客户清单!B:G,6,0)=0,"&lt;暂未更新&gt;",VLOOKUP($E13,客户清单!B:G,6,0))</f>
        <v>&lt;暂未更新&gt;</v>
      </c>
      <c r="J13" s="36" t="s">
        <v>295</v>
      </c>
      <c r="K13" s="36" t="s">
        <v>466</v>
      </c>
      <c r="L13" s="36" t="s">
        <v>467</v>
      </c>
      <c r="N13" s="36" t="s">
        <v>268</v>
      </c>
      <c r="O13" s="36" t="s">
        <v>268</v>
      </c>
      <c r="P13" s="36" t="s">
        <v>268</v>
      </c>
      <c r="Q13" s="36" t="s">
        <v>268</v>
      </c>
      <c r="R13" s="36" t="s">
        <v>268</v>
      </c>
      <c r="S13" s="36" t="s">
        <v>268</v>
      </c>
      <c r="T13" s="36" t="s">
        <v>268</v>
      </c>
      <c r="U13" s="36" t="s">
        <v>268</v>
      </c>
      <c r="V13" s="36" t="s">
        <v>268</v>
      </c>
      <c r="W13" s="36" t="s">
        <v>268</v>
      </c>
      <c r="X13" s="36" t="s">
        <v>133</v>
      </c>
      <c r="Y13" s="36" t="s">
        <v>268</v>
      </c>
      <c r="Z13" s="36" t="s">
        <v>268</v>
      </c>
      <c r="AA13" s="36" t="s">
        <v>268</v>
      </c>
      <c r="AB13" s="49" t="s">
        <v>468</v>
      </c>
      <c r="AC13" s="48" t="s">
        <v>469</v>
      </c>
      <c r="AD13" s="48" t="s">
        <v>265</v>
      </c>
      <c r="AE13" s="48" t="str">
        <f>IFERROR(HYPERLINK("#'通用补充信息'!A"&amp;MATCH(A13, 通用补充信息!A:A, 0), "&gt;&gt;&gt;通用补充信息&lt;&lt;&lt;"), "&gt;&gt;&gt;暂无补充&lt;&lt;&lt;")</f>
        <v>&gt;&gt;&gt;通用补充信息&lt;&lt;&lt;</v>
      </c>
      <c r="AF13" s="48" t="str">
        <f>IFERROR(HYPERLINK("#'数据应用类补充信息'!A"&amp;MATCH(A13, 数据应用类补充信息!A:A, 0), "&gt;&gt;&gt;数据应用类补充信息&lt;&lt;&lt;"), "&gt;&gt;&gt;暂无补充&lt;&lt;&lt;")</f>
        <v>&gt;&gt;&gt;数据应用类补充信息&lt;&lt;&lt;</v>
      </c>
      <c r="AG13" s="48"/>
      <c r="AH13" s="48" t="s">
        <v>277</v>
      </c>
      <c r="AI13" s="48" t="s">
        <v>470</v>
      </c>
      <c r="AJ13" s="48"/>
      <c r="AK13" s="47"/>
    </row>
    <row r="14" spans="1:38" ht="15" customHeight="1" x14ac:dyDescent="0.25">
      <c r="A14" s="47" t="s">
        <v>474</v>
      </c>
      <c r="B14" s="48" t="s">
        <v>278</v>
      </c>
      <c r="C14" s="48">
        <v>2024</v>
      </c>
      <c r="D14" s="48" t="s">
        <v>262</v>
      </c>
      <c r="E14" s="48" t="s">
        <v>475</v>
      </c>
      <c r="F14" s="48">
        <f>IFERROR(VLOOKUP($E14,客户清单!B:G,2,0),"")</f>
        <v>0</v>
      </c>
      <c r="G14" s="48" t="str">
        <f>IFERROR(VLOOKUP($E14,客户清单!B:G,3,0),"")</f>
        <v/>
      </c>
      <c r="H14" s="48" t="str">
        <f>IFERROR(VLOOKUP($E14,客户清单!B:G,4,0),"")</f>
        <v/>
      </c>
      <c r="I14" s="48" t="str">
        <f>IF(VLOOKUP($E14,客户清单!B:G,6,0)=0,"&lt;暂未更新&gt;",VLOOKUP($E14,客户清单!B:G,6,0))</f>
        <v>&lt;暂未更新&gt;</v>
      </c>
      <c r="J14" s="36" t="s">
        <v>296</v>
      </c>
      <c r="K14" s="36" t="s">
        <v>476</v>
      </c>
      <c r="L14" s="36" t="s">
        <v>477</v>
      </c>
      <c r="O14" s="36" t="s">
        <v>264</v>
      </c>
      <c r="P14" s="36" t="s">
        <v>297</v>
      </c>
      <c r="S14" s="36" t="s">
        <v>478</v>
      </c>
      <c r="T14" s="36" t="s">
        <v>479</v>
      </c>
      <c r="V14" s="36" t="s">
        <v>480</v>
      </c>
      <c r="AB14" s="49" t="s">
        <v>481</v>
      </c>
      <c r="AC14" s="48" t="s">
        <v>482</v>
      </c>
      <c r="AD14" s="48" t="s">
        <v>265</v>
      </c>
      <c r="AE14" s="48" t="str">
        <f>IFERROR(HYPERLINK("#'通用补充信息'!A"&amp;MATCH(A14, 通用补充信息!A:A, 0), "&gt;&gt;&gt;通用补充信息&lt;&lt;&lt;"), "&gt;&gt;&gt;暂无补充&lt;&lt;&lt;")</f>
        <v>&gt;&gt;&gt;通用补充信息&lt;&lt;&lt;</v>
      </c>
      <c r="AF14" s="48" t="str">
        <f>IFERROR(HYPERLINK("#'数据应用类补充信息'!A"&amp;MATCH(A14, 数据应用类补充信息!A:A, 0), "&gt;&gt;&gt;数据应用类补充信息&lt;&lt;&lt;"), "&gt;&gt;&gt;暂无补充&lt;&lt;&lt;")</f>
        <v>&gt;&gt;&gt;数据应用类补充信息&lt;&lt;&lt;</v>
      </c>
      <c r="AG14" s="48"/>
      <c r="AH14" s="48" t="s">
        <v>266</v>
      </c>
      <c r="AI14" s="48" t="s">
        <v>483</v>
      </c>
      <c r="AJ14" s="48"/>
      <c r="AK14" s="47"/>
    </row>
    <row r="15" spans="1:38" ht="15" customHeight="1" x14ac:dyDescent="0.25">
      <c r="A15" s="47" t="s">
        <v>486</v>
      </c>
      <c r="B15" s="48" t="s">
        <v>278</v>
      </c>
      <c r="C15" s="48">
        <v>2024</v>
      </c>
      <c r="D15" s="48" t="s">
        <v>262</v>
      </c>
      <c r="E15" s="48" t="s">
        <v>304</v>
      </c>
      <c r="F15" s="48">
        <f>IFERROR(VLOOKUP($E15,客户清单!B:G,2,0),"")</f>
        <v>0</v>
      </c>
      <c r="G15" s="48" t="str">
        <f>IFERROR(VLOOKUP($E15,客户清单!B:G,3,0),"")</f>
        <v/>
      </c>
      <c r="H15" s="48" t="str">
        <f>IFERROR(VLOOKUP($E15,客户清单!B:G,4,0),"")</f>
        <v/>
      </c>
      <c r="I15" s="48" t="str">
        <f>IF(VLOOKUP($E15,客户清单!B:G,6,0)=0,"&lt;暂未更新&gt;",VLOOKUP($E15,客户清单!B:G,6,0))</f>
        <v>&lt;暂未更新&gt;</v>
      </c>
      <c r="J15" s="36" t="s">
        <v>305</v>
      </c>
      <c r="K15" s="36" t="s">
        <v>263</v>
      </c>
      <c r="L15" s="36" t="s">
        <v>487</v>
      </c>
      <c r="P15" s="36" t="s">
        <v>488</v>
      </c>
      <c r="AA15" s="36" t="s">
        <v>489</v>
      </c>
      <c r="AB15" s="49" t="s">
        <v>490</v>
      </c>
      <c r="AC15" s="48" t="s">
        <v>457</v>
      </c>
      <c r="AD15" s="48" t="s">
        <v>265</v>
      </c>
      <c r="AE15" s="48" t="str">
        <f>IFERROR(HYPERLINK("#'通用补充信息'!A"&amp;MATCH(A15, 通用补充信息!A:A, 0), "&gt;&gt;&gt;通用补充信息&lt;&lt;&lt;"), "&gt;&gt;&gt;暂无补充&lt;&lt;&lt;")</f>
        <v>&gt;&gt;&gt;通用补充信息&lt;&lt;&lt;</v>
      </c>
      <c r="AF15" s="48" t="str">
        <f>IFERROR(HYPERLINK("#'数据应用类补充信息'!A"&amp;MATCH(A15, 数据应用类补充信息!A:A, 0), "&gt;&gt;&gt;数据应用类补充信息&lt;&lt;&lt;"), "&gt;&gt;&gt;暂无补充&lt;&lt;&lt;")</f>
        <v>&gt;&gt;&gt;数据应用类补充信息&lt;&lt;&lt;</v>
      </c>
      <c r="AG15" s="48"/>
      <c r="AH15" s="48" t="s">
        <v>301</v>
      </c>
      <c r="AI15" s="48" t="s">
        <v>491</v>
      </c>
      <c r="AJ15" s="48"/>
      <c r="AK15" s="47"/>
    </row>
    <row r="16" spans="1:38" ht="15" customHeight="1" x14ac:dyDescent="0.25">
      <c r="A16" s="47" t="s">
        <v>499</v>
      </c>
      <c r="B16" s="48" t="s">
        <v>278</v>
      </c>
      <c r="C16" s="48">
        <v>2024</v>
      </c>
      <c r="D16" s="48" t="s">
        <v>269</v>
      </c>
      <c r="E16" s="48" t="s">
        <v>306</v>
      </c>
      <c r="F16" s="48">
        <f>IFERROR(VLOOKUP($E16,客户清单!B:G,2,0),"")</f>
        <v>0</v>
      </c>
      <c r="G16" s="48" t="str">
        <f>IFERROR(VLOOKUP($E16,客户清单!B:G,3,0),"")</f>
        <v/>
      </c>
      <c r="H16" s="48" t="str">
        <f>IFERROR(VLOOKUP($E16,客户清单!B:G,4,0),"")</f>
        <v/>
      </c>
      <c r="I16" s="48" t="str">
        <f>IF(VLOOKUP($E16,客户清单!B:G,6,0)=0,"&lt;暂未更新&gt;",VLOOKUP($E16,客户清单!B:G,6,0))</f>
        <v>&lt;暂未更新&gt;</v>
      </c>
      <c r="J16" s="36" t="s">
        <v>342</v>
      </c>
      <c r="K16" s="36" t="s">
        <v>309</v>
      </c>
      <c r="L16" s="36" t="s">
        <v>334</v>
      </c>
      <c r="N16" s="36" t="s">
        <v>268</v>
      </c>
      <c r="O16" s="36" t="s">
        <v>268</v>
      </c>
      <c r="P16" s="36" t="s">
        <v>268</v>
      </c>
      <c r="Q16" s="36" t="s">
        <v>268</v>
      </c>
      <c r="R16" s="36" t="s">
        <v>268</v>
      </c>
      <c r="S16" s="36" t="s">
        <v>346</v>
      </c>
      <c r="T16" s="36" t="s">
        <v>268</v>
      </c>
      <c r="U16" s="36" t="s">
        <v>268</v>
      </c>
      <c r="V16" s="36" t="s">
        <v>268</v>
      </c>
      <c r="W16" s="36" t="s">
        <v>268</v>
      </c>
      <c r="X16" s="36" t="s">
        <v>268</v>
      </c>
      <c r="Y16" s="36" t="s">
        <v>268</v>
      </c>
      <c r="Z16" s="36" t="s">
        <v>268</v>
      </c>
      <c r="AA16" s="36" t="s">
        <v>268</v>
      </c>
      <c r="AB16" s="49" t="s">
        <v>500</v>
      </c>
      <c r="AC16" s="48" t="s">
        <v>501</v>
      </c>
      <c r="AD16" s="48" t="s">
        <v>265</v>
      </c>
      <c r="AE16" s="48" t="str">
        <f>IFERROR(HYPERLINK("#'通用补充信息'!A"&amp;MATCH(A16, 通用补充信息!A:A, 0), "&gt;&gt;&gt;通用补充信息&lt;&lt;&lt;"), "&gt;&gt;&gt;暂无补充&lt;&lt;&lt;")</f>
        <v>&gt;&gt;&gt;通用补充信息&lt;&lt;&lt;</v>
      </c>
      <c r="AF16" s="48" t="str">
        <f>IFERROR(HYPERLINK("#'数据应用类补充信息'!A"&amp;MATCH(A16, 数据应用类补充信息!A:A, 0), "&gt;&gt;&gt;数据应用类补充信息&lt;&lt;&lt;"), "&gt;&gt;&gt;暂无补充&lt;&lt;&lt;")</f>
        <v>&gt;&gt;&gt;数据应用类补充信息&lt;&lt;&lt;</v>
      </c>
      <c r="AG16" s="48"/>
      <c r="AH16" s="48" t="s">
        <v>266</v>
      </c>
      <c r="AI16" s="48" t="s">
        <v>502</v>
      </c>
      <c r="AJ16" s="48"/>
      <c r="AK16" s="47"/>
    </row>
    <row r="17" spans="1:37" ht="15" customHeight="1" x14ac:dyDescent="0.25">
      <c r="A17" s="47" t="s">
        <v>503</v>
      </c>
      <c r="B17" s="48" t="s">
        <v>278</v>
      </c>
      <c r="C17" s="48">
        <v>2024</v>
      </c>
      <c r="D17" s="48" t="s">
        <v>269</v>
      </c>
      <c r="E17" s="48" t="s">
        <v>306</v>
      </c>
      <c r="F17" s="48">
        <f>IFERROR(VLOOKUP($E17,客户清单!B:G,2,0),"")</f>
        <v>0</v>
      </c>
      <c r="G17" s="48" t="str">
        <f>IFERROR(VLOOKUP($E17,客户清单!B:G,3,0),"")</f>
        <v/>
      </c>
      <c r="H17" s="48" t="str">
        <f>IFERROR(VLOOKUP($E17,客户清单!B:G,4,0),"")</f>
        <v/>
      </c>
      <c r="I17" s="48" t="str">
        <f>IF(VLOOKUP($E17,客户清单!B:G,6,0)=0,"&lt;暂未更新&gt;",VLOOKUP($E17,客户清单!B:G,6,0))</f>
        <v>&lt;暂未更新&gt;</v>
      </c>
      <c r="J17" s="36" t="s">
        <v>504</v>
      </c>
      <c r="K17" s="36" t="s">
        <v>263</v>
      </c>
      <c r="L17" s="36" t="s">
        <v>505</v>
      </c>
      <c r="X17" s="36" t="s">
        <v>132</v>
      </c>
      <c r="AB17" s="49" t="s">
        <v>506</v>
      </c>
      <c r="AC17" s="48" t="s">
        <v>363</v>
      </c>
      <c r="AD17" s="48" t="s">
        <v>288</v>
      </c>
      <c r="AE17" s="48" t="str">
        <f>IFERROR(HYPERLINK("#'通用补充信息'!A"&amp;MATCH(A17, 通用补充信息!A:A, 0), "&gt;&gt;&gt;通用补充信息&lt;&lt;&lt;"), "&gt;&gt;&gt;暂无补充&lt;&lt;&lt;")</f>
        <v>&gt;&gt;&gt;通用补充信息&lt;&lt;&lt;</v>
      </c>
      <c r="AF17" s="48" t="str">
        <f>IFERROR(HYPERLINK("#'数据应用类补充信息'!A"&amp;MATCH(A17, 数据应用类补充信息!A:A, 0), "&gt;&gt;&gt;数据应用类补充信息&lt;&lt;&lt;"), "&gt;&gt;&gt;暂无补充&lt;&lt;&lt;")</f>
        <v>&gt;&gt;&gt;数据应用类补充信息&lt;&lt;&lt;</v>
      </c>
      <c r="AG17" s="48"/>
      <c r="AH17" s="48" t="s">
        <v>266</v>
      </c>
      <c r="AI17" s="48" t="s">
        <v>507</v>
      </c>
      <c r="AJ17" s="48"/>
      <c r="AK17" s="47"/>
    </row>
    <row r="18" spans="1:37" ht="15" customHeight="1" x14ac:dyDescent="0.25">
      <c r="A18" s="47" t="s">
        <v>508</v>
      </c>
      <c r="B18" s="48" t="s">
        <v>278</v>
      </c>
      <c r="C18" s="48">
        <v>2023</v>
      </c>
      <c r="D18" s="48" t="s">
        <v>262</v>
      </c>
      <c r="E18" s="48" t="s">
        <v>509</v>
      </c>
      <c r="F18" s="48">
        <f>IFERROR(VLOOKUP($E18,客户清单!B:G,2,0),"")</f>
        <v>0</v>
      </c>
      <c r="G18" s="48" t="str">
        <f>IFERROR(VLOOKUP($E18,客户清单!B:G,3,0),"")</f>
        <v/>
      </c>
      <c r="H18" s="48" t="str">
        <f>IFERROR(VLOOKUP($E18,客户清单!B:G,4,0),"")</f>
        <v/>
      </c>
      <c r="I18" s="48" t="str">
        <f>IF(VLOOKUP($E18,客户清单!B:G,6,0)=0,"&lt;暂未更新&gt;",VLOOKUP($E18,客户清单!B:G,6,0))</f>
        <v>&lt;暂未更新&gt;</v>
      </c>
      <c r="J18" s="36" t="s">
        <v>510</v>
      </c>
      <c r="L18" s="36" t="s">
        <v>311</v>
      </c>
      <c r="O18" s="36" t="s">
        <v>511</v>
      </c>
      <c r="S18" s="36" t="s">
        <v>307</v>
      </c>
      <c r="T18" s="36" t="s">
        <v>512</v>
      </c>
      <c r="AB18" s="49" t="s">
        <v>513</v>
      </c>
      <c r="AC18" s="48" t="s">
        <v>514</v>
      </c>
      <c r="AD18" s="48" t="s">
        <v>288</v>
      </c>
      <c r="AE18" s="48" t="str">
        <f>IFERROR(HYPERLINK("#'通用补充信息'!A"&amp;MATCH(A18, 通用补充信息!A:A, 0), "&gt;&gt;&gt;通用补充信息&lt;&lt;&lt;"), "&gt;&gt;&gt;暂无补充&lt;&lt;&lt;")</f>
        <v>&gt;&gt;&gt;通用补充信息&lt;&lt;&lt;</v>
      </c>
      <c r="AF18" s="48" t="str">
        <f>IFERROR(HYPERLINK("#'数据应用类补充信息'!A"&amp;MATCH(A18, 数据应用类补充信息!A:A, 0), "&gt;&gt;&gt;数据应用类补充信息&lt;&lt;&lt;"), "&gt;&gt;&gt;暂无补充&lt;&lt;&lt;")</f>
        <v>&gt;&gt;&gt;数据应用类补充信息&lt;&lt;&lt;</v>
      </c>
      <c r="AG18" s="48"/>
      <c r="AH18" s="48" t="s">
        <v>266</v>
      </c>
      <c r="AI18" s="48" t="s">
        <v>515</v>
      </c>
      <c r="AJ18" s="48"/>
      <c r="AK18" s="47"/>
    </row>
    <row r="19" spans="1:37" ht="15" customHeight="1" x14ac:dyDescent="0.25">
      <c r="A19" s="55" t="s">
        <v>523</v>
      </c>
      <c r="B19" s="48" t="s">
        <v>278</v>
      </c>
      <c r="C19" s="48">
        <v>2022</v>
      </c>
      <c r="D19" s="48" t="s">
        <v>262</v>
      </c>
      <c r="E19" s="48" t="s">
        <v>524</v>
      </c>
      <c r="F19" s="48">
        <f>IFERROR(VLOOKUP($E19,客户清单!B:G,2,0),"")</f>
        <v>0</v>
      </c>
      <c r="G19" s="48" t="str">
        <f>IFERROR(VLOOKUP($E19,客户清单!B:G,3,0),"")</f>
        <v/>
      </c>
      <c r="H19" s="48" t="str">
        <f>IFERROR(VLOOKUP($E19,客户清单!B:G,4,0),"")</f>
        <v/>
      </c>
      <c r="I19" s="48" t="str">
        <f>IF(VLOOKUP($E19,客户清单!B:G,6,0)=0,"&lt;暂未更新&gt;",VLOOKUP($E19,客户清单!B:G,6,0))</f>
        <v>&lt;暂未更新&gt;</v>
      </c>
      <c r="J19" s="36" t="s">
        <v>275</v>
      </c>
      <c r="K19" s="36" t="s">
        <v>270</v>
      </c>
      <c r="L19" s="36" t="s">
        <v>525</v>
      </c>
      <c r="N19" s="36" t="s">
        <v>268</v>
      </c>
      <c r="O19" s="36" t="s">
        <v>268</v>
      </c>
      <c r="P19" s="36" t="s">
        <v>268</v>
      </c>
      <c r="Q19" s="36" t="s">
        <v>268</v>
      </c>
      <c r="R19" s="36" t="s">
        <v>526</v>
      </c>
      <c r="S19" s="36" t="s">
        <v>268</v>
      </c>
      <c r="T19" s="36" t="s">
        <v>268</v>
      </c>
      <c r="U19" s="36" t="s">
        <v>268</v>
      </c>
      <c r="V19" s="36" t="s">
        <v>268</v>
      </c>
      <c r="W19" s="36" t="s">
        <v>268</v>
      </c>
      <c r="X19" s="36" t="s">
        <v>268</v>
      </c>
      <c r="Y19" s="36" t="s">
        <v>268</v>
      </c>
      <c r="Z19" s="36" t="s">
        <v>268</v>
      </c>
      <c r="AA19" s="36" t="s">
        <v>268</v>
      </c>
      <c r="AB19" s="49" t="s">
        <v>527</v>
      </c>
      <c r="AC19" s="48" t="s">
        <v>528</v>
      </c>
      <c r="AD19" s="48" t="s">
        <v>288</v>
      </c>
      <c r="AE19" s="48" t="str">
        <f>IFERROR(HYPERLINK("#'通用补充信息'!A"&amp;MATCH(A19, 通用补充信息!A:A, 0), "&gt;&gt;&gt;通用补充信息&lt;&lt;&lt;"), "&gt;&gt;&gt;暂无补充&lt;&lt;&lt;")</f>
        <v>&gt;&gt;&gt;通用补充信息&lt;&lt;&lt;</v>
      </c>
      <c r="AF19" s="48" t="str">
        <f>IFERROR(HYPERLINK("#'数据应用类补充信息'!A"&amp;MATCH(A19, 数据应用类补充信息!A:A, 0), "&gt;&gt;&gt;数据应用类补充信息&lt;&lt;&lt;"), "&gt;&gt;&gt;暂无补充&lt;&lt;&lt;")</f>
        <v>&gt;&gt;&gt;数据应用类补充信息&lt;&lt;&lt;</v>
      </c>
      <c r="AG19" s="48"/>
      <c r="AH19" s="48" t="s">
        <v>271</v>
      </c>
      <c r="AI19" s="48" t="s">
        <v>529</v>
      </c>
      <c r="AJ19" s="48"/>
      <c r="AK19" s="47"/>
    </row>
    <row r="20" spans="1:37" ht="15" customHeight="1" x14ac:dyDescent="0.25">
      <c r="A20" s="47" t="s">
        <v>530</v>
      </c>
      <c r="B20" s="48" t="s">
        <v>261</v>
      </c>
      <c r="C20" s="48">
        <v>2024</v>
      </c>
      <c r="D20" s="48" t="s">
        <v>269</v>
      </c>
      <c r="E20" s="48" t="s">
        <v>531</v>
      </c>
      <c r="F20" s="48">
        <f>IFERROR(VLOOKUP($E20,客户清单!B:G,2,0),"")</f>
        <v>0</v>
      </c>
      <c r="G20" s="48" t="str">
        <f>IFERROR(VLOOKUP($E20,客户清单!B:G,3,0),"")</f>
        <v/>
      </c>
      <c r="H20" s="48" t="str">
        <f>IFERROR(VLOOKUP($E20,客户清单!B:G,4,0),"")</f>
        <v/>
      </c>
      <c r="I20" s="48" t="str">
        <f>IF(VLOOKUP($E20,客户清单!B:G,6,0)=0,"&lt;暂未更新&gt;",VLOOKUP($E20,客户清单!B:G,6,0))</f>
        <v>&lt;暂未更新&gt;</v>
      </c>
      <c r="J20" s="36" t="s">
        <v>275</v>
      </c>
      <c r="K20" s="36" t="s">
        <v>270</v>
      </c>
      <c r="L20" s="36" t="s">
        <v>345</v>
      </c>
      <c r="N20" s="36" t="s">
        <v>268</v>
      </c>
      <c r="O20" s="36" t="s">
        <v>268</v>
      </c>
      <c r="P20" s="36" t="s">
        <v>268</v>
      </c>
      <c r="Q20" s="36" t="s">
        <v>268</v>
      </c>
      <c r="R20" s="36" t="s">
        <v>526</v>
      </c>
      <c r="S20" s="36" t="s">
        <v>268</v>
      </c>
      <c r="T20" s="36" t="s">
        <v>268</v>
      </c>
      <c r="U20" s="36" t="s">
        <v>268</v>
      </c>
      <c r="V20" s="36" t="s">
        <v>268</v>
      </c>
      <c r="W20" s="36" t="s">
        <v>268</v>
      </c>
      <c r="X20" s="36" t="s">
        <v>268</v>
      </c>
      <c r="Y20" s="36" t="s">
        <v>268</v>
      </c>
      <c r="Z20" s="36" t="s">
        <v>268</v>
      </c>
      <c r="AA20" s="36" t="s">
        <v>268</v>
      </c>
      <c r="AB20" s="49" t="s">
        <v>532</v>
      </c>
      <c r="AC20" s="48" t="s">
        <v>344</v>
      </c>
      <c r="AD20" s="48" t="s">
        <v>265</v>
      </c>
      <c r="AE20" s="48" t="str">
        <f>IFERROR(HYPERLINK("#'通用补充信息'!A"&amp;MATCH(A20, 通用补充信息!A:A, 0), "&gt;&gt;&gt;通用补充信息&lt;&lt;&lt;"), "&gt;&gt;&gt;暂无补充&lt;&lt;&lt;")</f>
        <v>&gt;&gt;&gt;通用补充信息&lt;&lt;&lt;</v>
      </c>
      <c r="AF20" s="48" t="str">
        <f>IFERROR(HYPERLINK("#'数据应用类补充信息'!A"&amp;MATCH(A20, 数据应用类补充信息!A:A, 0), "&gt;&gt;&gt;数据应用类补充信息&lt;&lt;&lt;"), "&gt;&gt;&gt;暂无补充&lt;&lt;&lt;")</f>
        <v>&gt;&gt;&gt;数据应用类补充信息&lt;&lt;&lt;</v>
      </c>
      <c r="AG20" s="48"/>
      <c r="AH20" s="48" t="s">
        <v>271</v>
      </c>
      <c r="AI20" s="48" t="s">
        <v>533</v>
      </c>
      <c r="AJ20" s="48"/>
      <c r="AK20" s="47"/>
    </row>
    <row r="21" spans="1:37" ht="15" customHeight="1" x14ac:dyDescent="0.25">
      <c r="A21" s="47" t="s">
        <v>534</v>
      </c>
      <c r="B21" s="48" t="s">
        <v>325</v>
      </c>
      <c r="C21" s="48">
        <v>2024</v>
      </c>
      <c r="D21" s="48" t="s">
        <v>262</v>
      </c>
      <c r="E21" s="48" t="s">
        <v>351</v>
      </c>
      <c r="F21" s="48">
        <f>IFERROR(VLOOKUP($E21,客户清单!B:G,2,0),"")</f>
        <v>0</v>
      </c>
      <c r="G21" s="48" t="str">
        <f>IFERROR(VLOOKUP($E21,客户清单!B:G,3,0),"")</f>
        <v/>
      </c>
      <c r="H21" s="48" t="str">
        <f>IFERROR(VLOOKUP($E21,客户清单!B:G,4,0),"")</f>
        <v/>
      </c>
      <c r="I21" s="48" t="str">
        <f>IF(VLOOKUP($E21,客户清单!B:G,6,0)=0,"&lt;暂未更新&gt;",VLOOKUP($E21,客户清单!B:G,6,0))</f>
        <v>&lt;暂未更新&gt;</v>
      </c>
      <c r="J21" s="36" t="s">
        <v>352</v>
      </c>
      <c r="L21" s="36" t="s">
        <v>535</v>
      </c>
      <c r="O21" s="36" t="s">
        <v>268</v>
      </c>
      <c r="P21" s="36" t="s">
        <v>268</v>
      </c>
      <c r="Q21" s="36" t="s">
        <v>268</v>
      </c>
      <c r="R21" s="36" t="s">
        <v>526</v>
      </c>
      <c r="S21" s="36" t="s">
        <v>282</v>
      </c>
      <c r="T21" s="36" t="s">
        <v>268</v>
      </c>
      <c r="U21" s="36" t="s">
        <v>268</v>
      </c>
      <c r="V21" s="36" t="s">
        <v>268</v>
      </c>
      <c r="W21" s="36" t="s">
        <v>268</v>
      </c>
      <c r="X21" s="36" t="s">
        <v>268</v>
      </c>
      <c r="Y21" s="36" t="s">
        <v>268</v>
      </c>
      <c r="Z21" s="36" t="s">
        <v>268</v>
      </c>
      <c r="AA21" s="36" t="s">
        <v>268</v>
      </c>
      <c r="AB21" s="49" t="s">
        <v>536</v>
      </c>
      <c r="AC21" s="48" t="s">
        <v>537</v>
      </c>
      <c r="AD21" s="48" t="s">
        <v>265</v>
      </c>
      <c r="AE21" s="48" t="str">
        <f>IFERROR(HYPERLINK("#'通用补充信息'!A"&amp;MATCH(A21, 通用补充信息!A:A, 0), "&gt;&gt;&gt;通用补充信息&lt;&lt;&lt;"), "&gt;&gt;&gt;暂无补充&lt;&lt;&lt;")</f>
        <v>&gt;&gt;&gt;通用补充信息&lt;&lt;&lt;</v>
      </c>
      <c r="AF21" s="48" t="str">
        <f>IFERROR(HYPERLINK("#'数据应用类补充信息'!A"&amp;MATCH(A21, 数据应用类补充信息!A:A, 0), "&gt;&gt;&gt;数据应用类补充信息&lt;&lt;&lt;"), "&gt;&gt;&gt;暂无补充&lt;&lt;&lt;")</f>
        <v>&gt;&gt;&gt;数据应用类补充信息&lt;&lt;&lt;</v>
      </c>
      <c r="AG21" s="48"/>
      <c r="AH21" s="48" t="s">
        <v>326</v>
      </c>
      <c r="AI21" s="48" t="s">
        <v>538</v>
      </c>
      <c r="AJ21" s="48"/>
      <c r="AK21" s="47"/>
    </row>
    <row r="22" spans="1:37" ht="15" customHeight="1" x14ac:dyDescent="0.25">
      <c r="A22" s="47" t="s">
        <v>543</v>
      </c>
      <c r="C22" s="48">
        <v>2024</v>
      </c>
      <c r="D22" s="48" t="s">
        <v>262</v>
      </c>
      <c r="E22" s="48" t="s">
        <v>351</v>
      </c>
      <c r="F22" s="48">
        <f>IFERROR(VLOOKUP($E22,客户清单!B:G,2,0),"")</f>
        <v>0</v>
      </c>
      <c r="G22" s="48" t="str">
        <f>IFERROR(VLOOKUP($E22,客户清单!B:G,3,0),"")</f>
        <v/>
      </c>
      <c r="H22" s="48" t="str">
        <f>IFERROR(VLOOKUP($E22,客户清单!B:G,4,0),"")</f>
        <v/>
      </c>
      <c r="I22" s="48" t="str">
        <f>IF(VLOOKUP($E22,客户清单!B:G,6,0)=0,"&lt;暂未更新&gt;",VLOOKUP($E22,客户清单!B:G,6,0))</f>
        <v>&lt;暂未更新&gt;</v>
      </c>
      <c r="J22" s="36" t="s">
        <v>335</v>
      </c>
      <c r="L22" s="36" t="s">
        <v>544</v>
      </c>
      <c r="N22" s="36" t="s">
        <v>268</v>
      </c>
      <c r="O22" s="36" t="s">
        <v>268</v>
      </c>
      <c r="P22" s="36" t="s">
        <v>268</v>
      </c>
      <c r="Q22" s="36" t="s">
        <v>545</v>
      </c>
      <c r="R22" s="36" t="s">
        <v>546</v>
      </c>
      <c r="S22" s="36" t="s">
        <v>268</v>
      </c>
      <c r="T22" s="36" t="s">
        <v>268</v>
      </c>
      <c r="U22" s="36" t="s">
        <v>268</v>
      </c>
      <c r="V22" s="36" t="s">
        <v>268</v>
      </c>
      <c r="X22" s="36" t="s">
        <v>268</v>
      </c>
      <c r="Y22" s="36" t="s">
        <v>268</v>
      </c>
      <c r="Z22" s="36" t="s">
        <v>268</v>
      </c>
      <c r="AA22" s="36" t="s">
        <v>268</v>
      </c>
      <c r="AB22" s="49" t="s">
        <v>547</v>
      </c>
      <c r="AE22" s="48" t="str">
        <f>IFERROR(HYPERLINK("#'通用补充信息'!A"&amp;MATCH(A22, 通用补充信息!A:A, 0), "&gt;&gt;&gt;通用补充信息&lt;&lt;&lt;"), "&gt;&gt;&gt;暂无补充&lt;&lt;&lt;")</f>
        <v>&gt;&gt;&gt;通用补充信息&lt;&lt;&lt;</v>
      </c>
      <c r="AF22" s="48" t="str">
        <f>IFERROR(HYPERLINK("#'数据应用类补充信息'!A"&amp;MATCH(A22, 数据应用类补充信息!A:A, 0), "&gt;&gt;&gt;数据应用类补充信息&lt;&lt;&lt;"), "&gt;&gt;&gt;暂无补充&lt;&lt;&lt;")</f>
        <v>&gt;&gt;&gt;数据应用类补充信息&lt;&lt;&lt;</v>
      </c>
      <c r="AG22" s="48"/>
      <c r="AH22" s="48" t="s">
        <v>277</v>
      </c>
      <c r="AI22" s="48" t="s">
        <v>548</v>
      </c>
      <c r="AJ22" s="48"/>
      <c r="AK22" s="47"/>
    </row>
    <row r="23" spans="1:37" ht="15" customHeight="1" x14ac:dyDescent="0.25">
      <c r="A23" s="47" t="s">
        <v>549</v>
      </c>
      <c r="B23" s="48" t="s">
        <v>402</v>
      </c>
      <c r="C23" s="48">
        <v>2024</v>
      </c>
      <c r="D23" s="48" t="s">
        <v>269</v>
      </c>
      <c r="E23" s="48" t="s">
        <v>550</v>
      </c>
      <c r="F23" s="48">
        <f>IFERROR(VLOOKUP($E23,客户清单!B:G,2,0),"")</f>
        <v>0</v>
      </c>
      <c r="G23" s="48" t="str">
        <f>IFERROR(VLOOKUP($E23,客户清单!B:G,3,0),"")</f>
        <v/>
      </c>
      <c r="H23" s="48" t="str">
        <f>IFERROR(VLOOKUP($E23,客户清单!B:G,4,0),"")</f>
        <v/>
      </c>
      <c r="I23" s="48" t="str">
        <f>IF(VLOOKUP($E23,客户清单!B:G,6,0)=0,"&lt;暂未更新&gt;",VLOOKUP($E23,客户清单!B:G,6,0))</f>
        <v>&lt;暂未更新&gt;</v>
      </c>
      <c r="J23" s="36" t="s">
        <v>551</v>
      </c>
      <c r="K23" s="36" t="s">
        <v>552</v>
      </c>
      <c r="L23" s="36" t="s">
        <v>553</v>
      </c>
      <c r="N23" s="36" t="s">
        <v>330</v>
      </c>
      <c r="O23" s="36" t="s">
        <v>435</v>
      </c>
      <c r="R23" s="36" t="s">
        <v>286</v>
      </c>
      <c r="S23" s="36" t="s">
        <v>554</v>
      </c>
      <c r="AB23" s="49" t="s">
        <v>555</v>
      </c>
      <c r="AC23" s="48" t="s">
        <v>556</v>
      </c>
      <c r="AD23" s="48" t="s">
        <v>265</v>
      </c>
      <c r="AE23" s="48" t="str">
        <f>IFERROR(HYPERLINK("#'通用补充信息'!A"&amp;MATCH(A23, 通用补充信息!A:A, 0), "&gt;&gt;&gt;通用补充信息&lt;&lt;&lt;"), "&gt;&gt;&gt;暂无补充&lt;&lt;&lt;")</f>
        <v>&gt;&gt;&gt;通用补充信息&lt;&lt;&lt;</v>
      </c>
      <c r="AF23" s="48" t="str">
        <f>IFERROR(HYPERLINK("#'数据应用类补充信息'!A"&amp;MATCH(A23, 数据应用类补充信息!A:A, 0), "&gt;&gt;&gt;数据应用类补充信息&lt;&lt;&lt;"), "&gt;&gt;&gt;暂无补充&lt;&lt;&lt;")</f>
        <v>&gt;&gt;&gt;数据应用类补充信息&lt;&lt;&lt;</v>
      </c>
      <c r="AG23" s="48"/>
      <c r="AH23" s="48" t="s">
        <v>271</v>
      </c>
      <c r="AI23" s="48" t="s">
        <v>557</v>
      </c>
      <c r="AJ23" s="48"/>
      <c r="AK23" s="47"/>
    </row>
    <row r="24" spans="1:37" ht="15" customHeight="1" x14ac:dyDescent="0.25">
      <c r="A24" s="47" t="s">
        <v>562</v>
      </c>
      <c r="B24" s="48" t="s">
        <v>261</v>
      </c>
      <c r="C24" s="48">
        <v>2024</v>
      </c>
      <c r="D24" s="48" t="s">
        <v>269</v>
      </c>
      <c r="E24" s="48" t="s">
        <v>550</v>
      </c>
      <c r="F24" s="48">
        <f>IFERROR(VLOOKUP($E24,客户清单!B:G,2,0),"")</f>
        <v>0</v>
      </c>
      <c r="G24" s="48" t="str">
        <f>IFERROR(VLOOKUP($E24,客户清单!B:G,3,0),"")</f>
        <v/>
      </c>
      <c r="H24" s="48" t="str">
        <f>IFERROR(VLOOKUP($E24,客户清单!B:G,4,0),"")</f>
        <v/>
      </c>
      <c r="I24" s="48" t="str">
        <f>IF(VLOOKUP($E24,客户清单!B:G,6,0)=0,"&lt;暂未更新&gt;",VLOOKUP($E24,客户清单!B:G,6,0))</f>
        <v>&lt;暂未更新&gt;</v>
      </c>
      <c r="J24" s="36" t="s">
        <v>309</v>
      </c>
      <c r="K24" s="36" t="s">
        <v>411</v>
      </c>
      <c r="L24" s="36" t="s">
        <v>563</v>
      </c>
      <c r="N24" s="36" t="s">
        <v>268</v>
      </c>
      <c r="O24" s="36" t="s">
        <v>564</v>
      </c>
      <c r="P24" s="36" t="s">
        <v>268</v>
      </c>
      <c r="Q24" s="36" t="s">
        <v>268</v>
      </c>
      <c r="R24" s="36" t="s">
        <v>268</v>
      </c>
      <c r="S24" s="36" t="s">
        <v>565</v>
      </c>
      <c r="T24" s="36" t="s">
        <v>566</v>
      </c>
      <c r="U24" s="36" t="s">
        <v>337</v>
      </c>
      <c r="V24" s="36" t="s">
        <v>567</v>
      </c>
      <c r="W24" s="36" t="s">
        <v>568</v>
      </c>
      <c r="X24" s="36" t="s">
        <v>268</v>
      </c>
      <c r="Y24" s="36" t="s">
        <v>268</v>
      </c>
      <c r="Z24" s="36" t="s">
        <v>268</v>
      </c>
      <c r="AA24" s="36" t="s">
        <v>268</v>
      </c>
      <c r="AB24" s="49" t="s">
        <v>569</v>
      </c>
      <c r="AC24" s="48" t="s">
        <v>570</v>
      </c>
      <c r="AD24" s="48" t="s">
        <v>265</v>
      </c>
      <c r="AE24" s="48" t="str">
        <f>IFERROR(HYPERLINK("#'通用补充信息'!A"&amp;MATCH(A24, 通用补充信息!A:A, 0), "&gt;&gt;&gt;通用补充信息&lt;&lt;&lt;"), "&gt;&gt;&gt;暂无补充&lt;&lt;&lt;")</f>
        <v>&gt;&gt;&gt;通用补充信息&lt;&lt;&lt;</v>
      </c>
      <c r="AF24" s="48" t="str">
        <f>IFERROR(HYPERLINK("#'数据应用类补充信息'!A"&amp;MATCH(A24, 数据应用类补充信息!A:A, 0), "&gt;&gt;&gt;数据应用类补充信息&lt;&lt;&lt;"), "&gt;&gt;&gt;暂无补充&lt;&lt;&lt;")</f>
        <v>&gt;&gt;&gt;数据应用类补充信息&lt;&lt;&lt;</v>
      </c>
      <c r="AG24" s="48"/>
      <c r="AH24" s="48" t="s">
        <v>271</v>
      </c>
      <c r="AI24" s="48" t="s">
        <v>571</v>
      </c>
      <c r="AJ24" s="48"/>
      <c r="AK24" s="47"/>
    </row>
    <row r="25" spans="1:37" ht="15" customHeight="1" x14ac:dyDescent="0.25">
      <c r="A25" s="47" t="s">
        <v>572</v>
      </c>
      <c r="B25" s="48" t="s">
        <v>278</v>
      </c>
      <c r="C25" s="48">
        <v>2020</v>
      </c>
      <c r="D25" s="48" t="s">
        <v>269</v>
      </c>
      <c r="E25" s="48" t="s">
        <v>573</v>
      </c>
      <c r="F25" s="48">
        <f>IFERROR(VLOOKUP($E25,客户清单!B:G,2,0),"")</f>
        <v>0</v>
      </c>
      <c r="G25" s="48" t="str">
        <f>IFERROR(VLOOKUP($E25,客户清单!B:G,3,0),"")</f>
        <v/>
      </c>
      <c r="H25" s="48" t="str">
        <f>IFERROR(VLOOKUP($E25,客户清单!B:G,4,0),"")</f>
        <v/>
      </c>
      <c r="I25" s="48" t="str">
        <f>IF(VLOOKUP($E25,客户清单!B:G,6,0)=0,"&lt;暂未更新&gt;",VLOOKUP($E25,客户清单!B:G,6,0))</f>
        <v>&lt;暂未更新&gt;</v>
      </c>
      <c r="J25" s="36" t="s">
        <v>287</v>
      </c>
      <c r="K25" s="36" t="s">
        <v>360</v>
      </c>
      <c r="L25" s="36" t="s">
        <v>574</v>
      </c>
      <c r="Y25" s="36" t="s">
        <v>575</v>
      </c>
      <c r="AB25" s="49" t="s">
        <v>576</v>
      </c>
      <c r="AC25" s="48" t="s">
        <v>577</v>
      </c>
      <c r="AD25" s="48" t="s">
        <v>288</v>
      </c>
      <c r="AE25" s="48" t="str">
        <f>IFERROR(HYPERLINK("#'通用补充信息'!A"&amp;MATCH(A25, 通用补充信息!A:A, 0), "&gt;&gt;&gt;通用补充信息&lt;&lt;&lt;"), "&gt;&gt;&gt;暂无补充&lt;&lt;&lt;")</f>
        <v>&gt;&gt;&gt;通用补充信息&lt;&lt;&lt;</v>
      </c>
      <c r="AF25" s="48" t="str">
        <f>IFERROR(HYPERLINK("#'数据应用类补充信息'!A"&amp;MATCH(A25, 数据应用类补充信息!A:A, 0), "&gt;&gt;&gt;数据应用类补充信息&lt;&lt;&lt;"), "&gt;&gt;&gt;暂无补充&lt;&lt;&lt;")</f>
        <v>&gt;&gt;&gt;数据应用类补充信息&lt;&lt;&lt;</v>
      </c>
      <c r="AG25" s="48"/>
      <c r="AH25" s="48" t="s">
        <v>301</v>
      </c>
      <c r="AI25" s="48" t="s">
        <v>578</v>
      </c>
      <c r="AJ25" s="48"/>
      <c r="AK25" s="47"/>
    </row>
    <row r="26" spans="1:37" ht="15" customHeight="1" x14ac:dyDescent="0.25">
      <c r="A26" s="47" t="s">
        <v>583</v>
      </c>
      <c r="B26" s="48" t="s">
        <v>278</v>
      </c>
      <c r="C26" s="48">
        <v>2024</v>
      </c>
      <c r="D26" s="48" t="s">
        <v>269</v>
      </c>
      <c r="E26" s="48" t="s">
        <v>584</v>
      </c>
      <c r="F26" s="48">
        <f>IFERROR(VLOOKUP($E26,客户清单!B:G,2,0),"")</f>
        <v>0</v>
      </c>
      <c r="G26" s="48" t="str">
        <f>IFERROR(VLOOKUP($E26,客户清单!B:G,3,0),"")</f>
        <v/>
      </c>
      <c r="H26" s="48" t="str">
        <f>IFERROR(VLOOKUP($E26,客户清单!B:G,4,0),"")</f>
        <v/>
      </c>
      <c r="I26" s="48" t="str">
        <f>IF(VLOOKUP($E26,客户清单!B:G,6,0)=0,"&lt;暂未更新&gt;",VLOOKUP($E26,客户清单!B:G,6,0))</f>
        <v>&lt;暂未更新&gt;</v>
      </c>
      <c r="J26" s="36" t="s">
        <v>585</v>
      </c>
      <c r="K26" s="36" t="s">
        <v>586</v>
      </c>
      <c r="L26" s="36" t="s">
        <v>587</v>
      </c>
      <c r="N26" s="36" t="s">
        <v>268</v>
      </c>
      <c r="O26" s="36" t="s">
        <v>268</v>
      </c>
      <c r="P26" s="36" t="s">
        <v>297</v>
      </c>
      <c r="Q26" s="36" t="s">
        <v>268</v>
      </c>
      <c r="R26" s="36" t="s">
        <v>268</v>
      </c>
      <c r="S26" s="36" t="s">
        <v>171</v>
      </c>
      <c r="T26" s="36" t="s">
        <v>268</v>
      </c>
      <c r="U26" s="36" t="s">
        <v>268</v>
      </c>
      <c r="V26" s="36" t="s">
        <v>268</v>
      </c>
      <c r="W26" s="36" t="s">
        <v>268</v>
      </c>
      <c r="X26" s="36" t="s">
        <v>268</v>
      </c>
      <c r="Y26" s="36" t="s">
        <v>268</v>
      </c>
      <c r="Z26" s="36" t="s">
        <v>268</v>
      </c>
      <c r="AA26" s="36" t="s">
        <v>268</v>
      </c>
      <c r="AB26" s="49" t="s">
        <v>588</v>
      </c>
      <c r="AC26" s="48" t="s">
        <v>589</v>
      </c>
      <c r="AD26" s="48" t="s">
        <v>265</v>
      </c>
      <c r="AE26" s="48" t="str">
        <f>IFERROR(HYPERLINK("#'通用补充信息'!A"&amp;MATCH(A26, 通用补充信息!A:A, 0), "&gt;&gt;&gt;通用补充信息&lt;&lt;&lt;"), "&gt;&gt;&gt;暂无补充&lt;&lt;&lt;")</f>
        <v>&gt;&gt;&gt;通用补充信息&lt;&lt;&lt;</v>
      </c>
      <c r="AF26" s="48" t="str">
        <f>IFERROR(HYPERLINK("#'数据应用类补充信息'!A"&amp;MATCH(A26, 数据应用类补充信息!A:A, 0), "&gt;&gt;&gt;数据应用类补充信息&lt;&lt;&lt;"), "&gt;&gt;&gt;暂无补充&lt;&lt;&lt;")</f>
        <v>&gt;&gt;&gt;数据应用类补充信息&lt;&lt;&lt;</v>
      </c>
      <c r="AG26" s="48"/>
      <c r="AH26" s="48" t="s">
        <v>361</v>
      </c>
      <c r="AI26" s="48" t="s">
        <v>590</v>
      </c>
      <c r="AJ26" s="48"/>
      <c r="AK26" s="47"/>
    </row>
    <row r="27" spans="1:37" ht="15" customHeight="1" x14ac:dyDescent="0.25">
      <c r="A27" s="47" t="s">
        <v>596</v>
      </c>
      <c r="B27" s="48" t="s">
        <v>278</v>
      </c>
      <c r="C27" s="48">
        <v>2024</v>
      </c>
      <c r="D27" s="48" t="s">
        <v>269</v>
      </c>
      <c r="E27" s="48" t="s">
        <v>584</v>
      </c>
      <c r="F27" s="48">
        <f>IFERROR(VLOOKUP($E27,客户清单!B:G,2,0),"")</f>
        <v>0</v>
      </c>
      <c r="G27" s="48" t="str">
        <f>IFERROR(VLOOKUP($E27,客户清单!B:G,3,0),"")</f>
        <v/>
      </c>
      <c r="H27" s="48" t="str">
        <f>IFERROR(VLOOKUP($E27,客户清单!B:G,4,0),"")</f>
        <v/>
      </c>
      <c r="I27" s="48" t="str">
        <f>IF(VLOOKUP($E27,客户清单!B:G,6,0)=0,"&lt;暂未更新&gt;",VLOOKUP($E27,客户清单!B:G,6,0))</f>
        <v>&lt;暂未更新&gt;</v>
      </c>
      <c r="J27" s="36" t="s">
        <v>420</v>
      </c>
      <c r="K27" s="36" t="s">
        <v>268</v>
      </c>
      <c r="L27" s="36" t="s">
        <v>597</v>
      </c>
      <c r="N27" s="36" t="s">
        <v>268</v>
      </c>
      <c r="O27" s="36" t="s">
        <v>268</v>
      </c>
      <c r="P27" s="36" t="s">
        <v>268</v>
      </c>
      <c r="Q27" s="36" t="s">
        <v>268</v>
      </c>
      <c r="R27" s="36" t="s">
        <v>268</v>
      </c>
      <c r="S27" s="36" t="s">
        <v>282</v>
      </c>
      <c r="T27" s="36" t="s">
        <v>598</v>
      </c>
      <c r="U27" s="36" t="s">
        <v>268</v>
      </c>
      <c r="V27" s="36" t="s">
        <v>268</v>
      </c>
      <c r="W27" s="36" t="s">
        <v>268</v>
      </c>
      <c r="X27" s="36" t="s">
        <v>268</v>
      </c>
      <c r="Y27" s="36" t="s">
        <v>599</v>
      </c>
      <c r="Z27" s="36" t="s">
        <v>268</v>
      </c>
      <c r="AA27" s="36" t="s">
        <v>268</v>
      </c>
      <c r="AB27" s="49" t="s">
        <v>600</v>
      </c>
      <c r="AC27" s="48" t="s">
        <v>601</v>
      </c>
      <c r="AD27" s="48" t="s">
        <v>265</v>
      </c>
      <c r="AE27" s="48" t="str">
        <f>IFERROR(HYPERLINK("#'通用补充信息'!A"&amp;MATCH(A27, 通用补充信息!A:A, 0), "&gt;&gt;&gt;通用补充信息&lt;&lt;&lt;"), "&gt;&gt;&gt;暂无补充&lt;&lt;&lt;")</f>
        <v>&gt;&gt;&gt;通用补充信息&lt;&lt;&lt;</v>
      </c>
      <c r="AF27" s="48" t="str">
        <f>IFERROR(HYPERLINK("#'数据应用类补充信息'!A"&amp;MATCH(A27, 数据应用类补充信息!A:A, 0), "&gt;&gt;&gt;数据应用类补充信息&lt;&lt;&lt;"), "&gt;&gt;&gt;暂无补充&lt;&lt;&lt;")</f>
        <v>&gt;&gt;&gt;数据应用类补充信息&lt;&lt;&lt;</v>
      </c>
      <c r="AG27" s="48"/>
      <c r="AH27" s="48" t="s">
        <v>361</v>
      </c>
      <c r="AI27" s="48" t="s">
        <v>602</v>
      </c>
      <c r="AJ27" s="48"/>
      <c r="AK27" s="47"/>
    </row>
    <row r="28" spans="1:37" ht="15" customHeight="1" x14ac:dyDescent="0.25">
      <c r="A28" s="47" t="s">
        <v>603</v>
      </c>
      <c r="B28" s="48" t="s">
        <v>278</v>
      </c>
      <c r="C28" s="48">
        <v>2024</v>
      </c>
      <c r="D28" s="48" t="s">
        <v>269</v>
      </c>
      <c r="E28" s="48" t="s">
        <v>584</v>
      </c>
      <c r="F28" s="48">
        <f>IFERROR(VLOOKUP($E28,客户清单!B:G,2,0),"")</f>
        <v>0</v>
      </c>
      <c r="G28" s="48" t="str">
        <f>IFERROR(VLOOKUP($E28,客户清单!B:G,3,0),"")</f>
        <v/>
      </c>
      <c r="H28" s="48" t="str">
        <f>IFERROR(VLOOKUP($E28,客户清单!B:G,4,0),"")</f>
        <v/>
      </c>
      <c r="I28" s="48" t="str">
        <f>IF(VLOOKUP($E28,客户清单!B:G,6,0)=0,"&lt;暂未更新&gt;",VLOOKUP($E28,客户清单!B:G,6,0))</f>
        <v>&lt;暂未更新&gt;</v>
      </c>
      <c r="J28" s="36" t="s">
        <v>604</v>
      </c>
      <c r="K28" s="36" t="s">
        <v>605</v>
      </c>
      <c r="L28" s="36" t="s">
        <v>606</v>
      </c>
      <c r="N28" s="36" t="s">
        <v>268</v>
      </c>
      <c r="O28" s="36" t="s">
        <v>268</v>
      </c>
      <c r="P28" s="36" t="s">
        <v>268</v>
      </c>
      <c r="Q28" s="36" t="s">
        <v>268</v>
      </c>
      <c r="R28" s="36" t="s">
        <v>268</v>
      </c>
      <c r="S28" s="36" t="s">
        <v>282</v>
      </c>
      <c r="T28" s="36" t="s">
        <v>268</v>
      </c>
      <c r="U28" s="36" t="s">
        <v>268</v>
      </c>
      <c r="V28" s="36" t="s">
        <v>268</v>
      </c>
      <c r="W28" s="36" t="s">
        <v>268</v>
      </c>
      <c r="X28" s="36" t="s">
        <v>268</v>
      </c>
      <c r="Y28" s="36" t="s">
        <v>607</v>
      </c>
      <c r="Z28" s="36" t="s">
        <v>268</v>
      </c>
      <c r="AA28" s="36" t="s">
        <v>268</v>
      </c>
      <c r="AB28" s="49" t="s">
        <v>608</v>
      </c>
      <c r="AC28" s="48" t="s">
        <v>609</v>
      </c>
      <c r="AD28" s="48" t="s">
        <v>265</v>
      </c>
      <c r="AE28" s="48" t="str">
        <f>IFERROR(HYPERLINK("#'通用补充信息'!A"&amp;MATCH(A28, 通用补充信息!A:A, 0), "&gt;&gt;&gt;通用补充信息&lt;&lt;&lt;"), "&gt;&gt;&gt;暂无补充&lt;&lt;&lt;")</f>
        <v>&gt;&gt;&gt;通用补充信息&lt;&lt;&lt;</v>
      </c>
      <c r="AF28" s="48" t="str">
        <f>IFERROR(HYPERLINK("#'数据应用类补充信息'!A"&amp;MATCH(A28, 数据应用类补充信息!A:A, 0), "&gt;&gt;&gt;数据应用类补充信息&lt;&lt;&lt;"), "&gt;&gt;&gt;暂无补充&lt;&lt;&lt;")</f>
        <v>&gt;&gt;&gt;数据应用类补充信息&lt;&lt;&lt;</v>
      </c>
      <c r="AG28" s="48"/>
      <c r="AH28" s="48" t="s">
        <v>361</v>
      </c>
      <c r="AI28" s="48" t="s">
        <v>610</v>
      </c>
      <c r="AJ28" s="48"/>
      <c r="AK28" s="47"/>
    </row>
    <row r="29" spans="1:37" ht="15" customHeight="1" x14ac:dyDescent="0.25">
      <c r="A29" s="47" t="s">
        <v>614</v>
      </c>
      <c r="B29" s="48" t="s">
        <v>278</v>
      </c>
      <c r="C29" s="48">
        <v>2024</v>
      </c>
      <c r="D29" s="48" t="s">
        <v>269</v>
      </c>
      <c r="E29" s="48" t="s">
        <v>615</v>
      </c>
      <c r="F29" s="48">
        <f>IFERROR(VLOOKUP($E29,客户清单!B:G,2,0),"")</f>
        <v>0</v>
      </c>
      <c r="G29" s="48" t="str">
        <f>IFERROR(VLOOKUP($E29,客户清单!B:G,3,0),"")</f>
        <v/>
      </c>
      <c r="H29" s="48" t="str">
        <f>IFERROR(VLOOKUP($E29,客户清单!B:G,4,0),"")</f>
        <v/>
      </c>
      <c r="I29" s="48" t="str">
        <f>IF(VLOOKUP($E29,客户清单!B:G,6,0)=0,"&lt;暂未更新&gt;",VLOOKUP($E29,客户清单!B:G,6,0))</f>
        <v>&lt;暂未更新&gt;</v>
      </c>
      <c r="J29" s="36" t="s">
        <v>616</v>
      </c>
      <c r="L29" s="36" t="s">
        <v>617</v>
      </c>
      <c r="N29" s="36" t="s">
        <v>268</v>
      </c>
      <c r="O29" s="36" t="s">
        <v>264</v>
      </c>
      <c r="P29" s="36" t="s">
        <v>268</v>
      </c>
      <c r="Q29" s="36" t="s">
        <v>268</v>
      </c>
      <c r="R29" s="36" t="s">
        <v>268</v>
      </c>
      <c r="S29" s="36" t="s">
        <v>618</v>
      </c>
      <c r="T29" s="36" t="s">
        <v>268</v>
      </c>
      <c r="U29" s="36" t="s">
        <v>268</v>
      </c>
      <c r="V29" s="36" t="s">
        <v>268</v>
      </c>
      <c r="W29" s="36" t="s">
        <v>268</v>
      </c>
      <c r="X29" s="36" t="s">
        <v>268</v>
      </c>
      <c r="Y29" s="36" t="s">
        <v>268</v>
      </c>
      <c r="Z29" s="36" t="s">
        <v>268</v>
      </c>
      <c r="AA29" s="36" t="s">
        <v>268</v>
      </c>
      <c r="AB29" s="49" t="s">
        <v>619</v>
      </c>
      <c r="AC29" s="48" t="s">
        <v>457</v>
      </c>
      <c r="AD29" s="48" t="s">
        <v>265</v>
      </c>
      <c r="AE29" s="48" t="str">
        <f>IFERROR(HYPERLINK("#'通用补充信息'!A"&amp;MATCH(A29, 通用补充信息!A:A, 0), "&gt;&gt;&gt;通用补充信息&lt;&lt;&lt;"), "&gt;&gt;&gt;暂无补充&lt;&lt;&lt;")</f>
        <v>&gt;&gt;&gt;通用补充信息&lt;&lt;&lt;</v>
      </c>
      <c r="AF29" s="48" t="str">
        <f>IFERROR(HYPERLINK("#'数据应用类补充信息'!A"&amp;MATCH(A29, 数据应用类补充信息!A:A, 0), "&gt;&gt;&gt;数据应用类补充信息&lt;&lt;&lt;"), "&gt;&gt;&gt;暂无补充&lt;&lt;&lt;")</f>
        <v>&gt;&gt;&gt;数据应用类补充信息&lt;&lt;&lt;</v>
      </c>
      <c r="AG29" s="48"/>
      <c r="AH29" s="48" t="s">
        <v>271</v>
      </c>
      <c r="AI29" s="48" t="s">
        <v>620</v>
      </c>
      <c r="AJ29" s="48"/>
      <c r="AK29" s="47"/>
    </row>
    <row r="30" spans="1:37" ht="15" customHeight="1" x14ac:dyDescent="0.25">
      <c r="A30" s="47" t="s">
        <v>625</v>
      </c>
      <c r="B30" s="48" t="s">
        <v>276</v>
      </c>
      <c r="C30" s="48">
        <v>2024</v>
      </c>
      <c r="D30" s="48" t="s">
        <v>262</v>
      </c>
      <c r="E30" s="48" t="s">
        <v>626</v>
      </c>
      <c r="F30" s="48">
        <f>IFERROR(VLOOKUP($E30,客户清单!B:G,2,0),"")</f>
        <v>0</v>
      </c>
      <c r="G30" s="48" t="str">
        <f>IFERROR(VLOOKUP($E30,客户清单!B:G,3,0),"")</f>
        <v/>
      </c>
      <c r="H30" s="48" t="str">
        <f>IFERROR(VLOOKUP($E30,客户清单!B:G,4,0),"")</f>
        <v/>
      </c>
      <c r="I30" s="48" t="str">
        <f>IF(VLOOKUP($E30,客户清单!B:G,6,0)=0,"&lt;暂未更新&gt;",VLOOKUP($E30,客户清单!B:G,6,0))</f>
        <v>&lt;暂未更新&gt;</v>
      </c>
      <c r="J30" s="36" t="s">
        <v>296</v>
      </c>
      <c r="L30" s="36" t="s">
        <v>355</v>
      </c>
      <c r="O30" s="36" t="s">
        <v>264</v>
      </c>
      <c r="P30" s="36" t="s">
        <v>627</v>
      </c>
      <c r="Y30" s="36" t="s">
        <v>628</v>
      </c>
      <c r="AB30" s="49" t="s">
        <v>629</v>
      </c>
      <c r="AC30" s="48" t="s">
        <v>630</v>
      </c>
      <c r="AD30" s="48" t="s">
        <v>265</v>
      </c>
      <c r="AE30" s="48" t="str">
        <f>IFERROR(HYPERLINK("#'通用补充信息'!A"&amp;MATCH(A30, 通用补充信息!A:A, 0), "&gt;&gt;&gt;通用补充信息&lt;&lt;&lt;"), "&gt;&gt;&gt;暂无补充&lt;&lt;&lt;")</f>
        <v>&gt;&gt;&gt;通用补充信息&lt;&lt;&lt;</v>
      </c>
      <c r="AF30" s="48" t="str">
        <f>IFERROR(HYPERLINK("#'数据应用类补充信息'!A"&amp;MATCH(A30, 数据应用类补充信息!A:A, 0), "&gt;&gt;&gt;数据应用类补充信息&lt;&lt;&lt;"), "&gt;&gt;&gt;暂无补充&lt;&lt;&lt;")</f>
        <v>&gt;&gt;&gt;数据应用类补充信息&lt;&lt;&lt;</v>
      </c>
      <c r="AG30" s="48"/>
      <c r="AH30" s="48" t="s">
        <v>266</v>
      </c>
      <c r="AI30" s="48" t="s">
        <v>631</v>
      </c>
      <c r="AJ30" s="48"/>
      <c r="AK30" s="47"/>
    </row>
    <row r="31" spans="1:37" ht="15" customHeight="1" x14ac:dyDescent="0.25">
      <c r="A31" s="47" t="s">
        <v>633</v>
      </c>
      <c r="B31" s="48" t="s">
        <v>278</v>
      </c>
      <c r="C31" s="48">
        <v>2023</v>
      </c>
      <c r="D31" s="48" t="s">
        <v>269</v>
      </c>
      <c r="E31" s="48" t="s">
        <v>634</v>
      </c>
      <c r="F31" s="48">
        <f>IFERROR(VLOOKUP($E31,客户清单!B:G,2,0),"")</f>
        <v>0</v>
      </c>
      <c r="G31" s="48" t="str">
        <f>IFERROR(VLOOKUP($E31,客户清单!B:G,3,0),"")</f>
        <v/>
      </c>
      <c r="H31" s="48" t="str">
        <f>IFERROR(VLOOKUP($E31,客户清单!B:G,4,0),"")</f>
        <v/>
      </c>
      <c r="I31" s="48" t="str">
        <f>IF(VLOOKUP($E31,客户清单!B:G,6,0)=0,"&lt;暂未更新&gt;",VLOOKUP($E31,客户清单!B:G,6,0))</f>
        <v>&lt;暂未更新&gt;</v>
      </c>
      <c r="J31" s="36" t="s">
        <v>635</v>
      </c>
      <c r="L31" s="36" t="s">
        <v>636</v>
      </c>
      <c r="V31" s="36" t="s">
        <v>107</v>
      </c>
      <c r="AB31" s="49" t="s">
        <v>637</v>
      </c>
      <c r="AC31" s="48" t="s">
        <v>638</v>
      </c>
      <c r="AD31" s="48" t="s">
        <v>288</v>
      </c>
      <c r="AE31" s="48" t="str">
        <f>IFERROR(HYPERLINK("#'通用补充信息'!A"&amp;MATCH(A31, 通用补充信息!A:A, 0), "&gt;&gt;&gt;通用补充信息&lt;&lt;&lt;"), "&gt;&gt;&gt;暂无补充&lt;&lt;&lt;")</f>
        <v>&gt;&gt;&gt;通用补充信息&lt;&lt;&lt;</v>
      </c>
      <c r="AF31" s="48" t="str">
        <f>IFERROR(HYPERLINK("#'数据应用类补充信息'!A"&amp;MATCH(A31, 数据应用类补充信息!A:A, 0), "&gt;&gt;&gt;数据应用类补充信息&lt;&lt;&lt;"), "&gt;&gt;&gt;暂无补充&lt;&lt;&lt;")</f>
        <v>&gt;&gt;&gt;数据应用类补充信息&lt;&lt;&lt;</v>
      </c>
      <c r="AG31" s="48"/>
      <c r="AH31" s="48" t="s">
        <v>326</v>
      </c>
      <c r="AI31" s="48" t="s">
        <v>639</v>
      </c>
      <c r="AJ31" s="48"/>
      <c r="AK31" s="47"/>
    </row>
    <row r="32" spans="1:37" ht="15" customHeight="1" x14ac:dyDescent="0.25">
      <c r="A32" s="47" t="s">
        <v>642</v>
      </c>
      <c r="B32" s="48" t="s">
        <v>325</v>
      </c>
      <c r="C32" s="48">
        <v>2024</v>
      </c>
      <c r="D32" s="48" t="s">
        <v>269</v>
      </c>
      <c r="E32" s="48" t="s">
        <v>643</v>
      </c>
      <c r="F32" s="48">
        <f>IFERROR(VLOOKUP($E32,客户清单!B:G,2,0),"")</f>
        <v>0</v>
      </c>
      <c r="G32" s="48" t="str">
        <f>IFERROR(VLOOKUP($E32,客户清单!B:G,3,0),"")</f>
        <v/>
      </c>
      <c r="H32" s="48" t="str">
        <f>IFERROR(VLOOKUP($E32,客户清单!B:G,4,0),"")</f>
        <v/>
      </c>
      <c r="I32" s="48" t="str">
        <f>IF(VLOOKUP($E32,客户清单!B:G,6,0)=0,"&lt;暂未更新&gt;",VLOOKUP($E32,客户清单!B:G,6,0))</f>
        <v>&lt;暂未更新&gt;</v>
      </c>
      <c r="J32" s="36" t="s">
        <v>644</v>
      </c>
      <c r="L32" s="36" t="s">
        <v>645</v>
      </c>
      <c r="N32" s="36" t="s">
        <v>646</v>
      </c>
      <c r="AB32" s="49" t="s">
        <v>647</v>
      </c>
      <c r="AC32" s="48" t="s">
        <v>648</v>
      </c>
      <c r="AD32" s="48" t="s">
        <v>265</v>
      </c>
      <c r="AE32" s="48" t="str">
        <f>IFERROR(HYPERLINK("#'通用补充信息'!A"&amp;MATCH(A32, 通用补充信息!A:A, 0), "&gt;&gt;&gt;通用补充信息&lt;&lt;&lt;"), "&gt;&gt;&gt;暂无补充&lt;&lt;&lt;")</f>
        <v>&gt;&gt;&gt;通用补充信息&lt;&lt;&lt;</v>
      </c>
      <c r="AF32" s="48" t="str">
        <f>IFERROR(HYPERLINK("#'数据应用类补充信息'!A"&amp;MATCH(A32, 数据应用类补充信息!A:A, 0), "&gt;&gt;&gt;数据应用类补充信息&lt;&lt;&lt;"), "&gt;&gt;&gt;暂无补充&lt;&lt;&lt;")</f>
        <v>&gt;&gt;&gt;数据应用类补充信息&lt;&lt;&lt;</v>
      </c>
      <c r="AG32" s="48"/>
      <c r="AH32" s="48" t="s">
        <v>323</v>
      </c>
      <c r="AI32" s="48" t="s">
        <v>649</v>
      </c>
      <c r="AJ32" s="48"/>
      <c r="AK32" s="47"/>
    </row>
    <row r="33" spans="1:37" ht="15" customHeight="1" x14ac:dyDescent="0.25">
      <c r="A33" s="47" t="s">
        <v>652</v>
      </c>
      <c r="B33" s="48" t="s">
        <v>276</v>
      </c>
      <c r="C33" s="48">
        <v>2024</v>
      </c>
      <c r="D33" s="48" t="s">
        <v>269</v>
      </c>
      <c r="E33" s="48" t="s">
        <v>643</v>
      </c>
      <c r="F33" s="48">
        <f>IFERROR(VLOOKUP($E33,客户清单!B:G,2,0),"")</f>
        <v>0</v>
      </c>
      <c r="G33" s="48" t="str">
        <f>IFERROR(VLOOKUP($E33,客户清单!B:G,3,0),"")</f>
        <v/>
      </c>
      <c r="H33" s="48" t="str">
        <f>IFERROR(VLOOKUP($E33,客户清单!B:G,4,0),"")</f>
        <v/>
      </c>
      <c r="I33" s="48" t="str">
        <f>IF(VLOOKUP($E33,客户清单!B:G,6,0)=0,"&lt;暂未更新&gt;",VLOOKUP($E33,客户清单!B:G,6,0))</f>
        <v>&lt;暂未更新&gt;</v>
      </c>
      <c r="J33" s="36" t="s">
        <v>644</v>
      </c>
      <c r="L33" s="36" t="s">
        <v>653</v>
      </c>
      <c r="AB33" s="49" t="s">
        <v>654</v>
      </c>
      <c r="AC33" s="48" t="s">
        <v>570</v>
      </c>
      <c r="AD33" s="48" t="s">
        <v>265</v>
      </c>
      <c r="AE33" s="48" t="str">
        <f>IFERROR(HYPERLINK("#'通用补充信息'!A"&amp;MATCH(A33, 通用补充信息!A:A, 0), "&gt;&gt;&gt;通用补充信息&lt;&lt;&lt;"), "&gt;&gt;&gt;暂无补充&lt;&lt;&lt;")</f>
        <v>&gt;&gt;&gt;通用补充信息&lt;&lt;&lt;</v>
      </c>
      <c r="AF33" s="48" t="str">
        <f>IFERROR(HYPERLINK("#'数据应用类补充信息'!A"&amp;MATCH(A33, 数据应用类补充信息!A:A, 0), "&gt;&gt;&gt;数据应用类补充信息&lt;&lt;&lt;"), "&gt;&gt;&gt;暂无补充&lt;&lt;&lt;")</f>
        <v>&gt;&gt;&gt;数据应用类补充信息&lt;&lt;&lt;</v>
      </c>
      <c r="AG33" s="48"/>
      <c r="AH33" s="48" t="s">
        <v>323</v>
      </c>
      <c r="AI33" s="48" t="s">
        <v>649</v>
      </c>
      <c r="AJ33" s="48"/>
      <c r="AK33" s="47"/>
    </row>
    <row r="34" spans="1:37" ht="15" customHeight="1" x14ac:dyDescent="0.25">
      <c r="A34" s="47" t="s">
        <v>659</v>
      </c>
      <c r="B34" s="48" t="s">
        <v>278</v>
      </c>
      <c r="C34" s="48">
        <v>2024</v>
      </c>
      <c r="D34" s="48" t="s">
        <v>262</v>
      </c>
      <c r="E34" s="48" t="s">
        <v>660</v>
      </c>
      <c r="F34" s="48">
        <f>IFERROR(VLOOKUP($E34,客户清单!B:G,2,0),"")</f>
        <v>0</v>
      </c>
      <c r="G34" s="48" t="str">
        <f>IFERROR(VLOOKUP($E34,客户清单!B:G,3,0),"")</f>
        <v/>
      </c>
      <c r="H34" s="48" t="str">
        <f>IFERROR(VLOOKUP($E34,客户清单!B:G,4,0),"")</f>
        <v/>
      </c>
      <c r="I34" s="48" t="str">
        <f>IF(VLOOKUP($E34,客户清单!B:G,6,0)=0,"&lt;暂未更新&gt;",VLOOKUP($E34,客户清单!B:G,6,0))</f>
        <v>&lt;暂未更新&gt;</v>
      </c>
      <c r="J34" s="36" t="s">
        <v>305</v>
      </c>
      <c r="L34" s="36" t="s">
        <v>661</v>
      </c>
      <c r="O34" s="36" t="s">
        <v>662</v>
      </c>
      <c r="AB34" s="49" t="s">
        <v>663</v>
      </c>
      <c r="AC34" s="48" t="s">
        <v>371</v>
      </c>
      <c r="AD34" s="48" t="s">
        <v>265</v>
      </c>
      <c r="AE34" s="48" t="str">
        <f>IFERROR(HYPERLINK("#'通用补充信息'!A"&amp;MATCH(A34, 通用补充信息!A:A, 0), "&gt;&gt;&gt;通用补充信息&lt;&lt;&lt;"), "&gt;&gt;&gt;暂无补充&lt;&lt;&lt;")</f>
        <v>&gt;&gt;&gt;通用补充信息&lt;&lt;&lt;</v>
      </c>
      <c r="AF34" s="48" t="str">
        <f>IFERROR(HYPERLINK("#'数据应用类补充信息'!A"&amp;MATCH(A34, 数据应用类补充信息!A:A, 0), "&gt;&gt;&gt;数据应用类补充信息&lt;&lt;&lt;"), "&gt;&gt;&gt;暂无补充&lt;&lt;&lt;")</f>
        <v>&gt;&gt;&gt;数据应用类补充信息&lt;&lt;&lt;</v>
      </c>
      <c r="AG34" s="48"/>
      <c r="AH34" s="48" t="s">
        <v>301</v>
      </c>
      <c r="AI34" s="48" t="s">
        <v>664</v>
      </c>
      <c r="AJ34" s="48"/>
      <c r="AK34" s="47"/>
    </row>
    <row r="35" spans="1:37" ht="15" customHeight="1" x14ac:dyDescent="0.25">
      <c r="A35" s="47" t="s">
        <v>673</v>
      </c>
      <c r="B35" s="48" t="s">
        <v>278</v>
      </c>
      <c r="C35" s="48">
        <v>2024</v>
      </c>
      <c r="D35" s="48" t="s">
        <v>269</v>
      </c>
      <c r="E35" s="48" t="s">
        <v>674</v>
      </c>
      <c r="F35" s="48">
        <f>IFERROR(VLOOKUP($E35,客户清单!B:G,2,0),"")</f>
        <v>0</v>
      </c>
      <c r="G35" s="48" t="str">
        <f>IFERROR(VLOOKUP($E35,客户清单!B:G,3,0),"")</f>
        <v/>
      </c>
      <c r="H35" s="48" t="str">
        <f>IFERROR(VLOOKUP($E35,客户清单!B:G,4,0),"")</f>
        <v/>
      </c>
      <c r="I35" s="48" t="str">
        <f>IF(VLOOKUP($E35,客户清单!B:G,6,0)=0,"&lt;暂未更新&gt;",VLOOKUP($E35,客户清单!B:G,6,0))</f>
        <v>&lt;暂未更新&gt;</v>
      </c>
      <c r="J35" s="36" t="s">
        <v>675</v>
      </c>
      <c r="L35" s="36" t="s">
        <v>676</v>
      </c>
      <c r="N35" s="36" t="s">
        <v>268</v>
      </c>
      <c r="O35" s="36" t="s">
        <v>264</v>
      </c>
      <c r="P35" s="36" t="s">
        <v>268</v>
      </c>
      <c r="Q35" s="36" t="s">
        <v>268</v>
      </c>
      <c r="R35" s="36" t="s">
        <v>268</v>
      </c>
      <c r="S35" s="36" t="s">
        <v>677</v>
      </c>
      <c r="T35" s="36" t="s">
        <v>268</v>
      </c>
      <c r="U35" s="36" t="s">
        <v>268</v>
      </c>
      <c r="V35" s="36" t="s">
        <v>268</v>
      </c>
      <c r="W35" s="36" t="s">
        <v>268</v>
      </c>
      <c r="X35" s="36" t="s">
        <v>268</v>
      </c>
      <c r="Y35" s="36" t="s">
        <v>268</v>
      </c>
      <c r="Z35" s="36" t="s">
        <v>268</v>
      </c>
      <c r="AA35" s="36" t="s">
        <v>268</v>
      </c>
      <c r="AB35" s="49" t="s">
        <v>678</v>
      </c>
      <c r="AC35" s="48" t="s">
        <v>679</v>
      </c>
      <c r="AD35" s="48" t="s">
        <v>288</v>
      </c>
      <c r="AE35" s="48" t="str">
        <f>IFERROR(HYPERLINK("#'通用补充信息'!A"&amp;MATCH(A35, 通用补充信息!A:A, 0), "&gt;&gt;&gt;通用补充信息&lt;&lt;&lt;"), "&gt;&gt;&gt;暂无补充&lt;&lt;&lt;")</f>
        <v>&gt;&gt;&gt;通用补充信息&lt;&lt;&lt;</v>
      </c>
      <c r="AF35" s="48" t="str">
        <f>IFERROR(HYPERLINK("#'数据应用类补充信息'!A"&amp;MATCH(A35, 数据应用类补充信息!A:A, 0), "&gt;&gt;&gt;数据应用类补充信息&lt;&lt;&lt;"), "&gt;&gt;&gt;暂无补充&lt;&lt;&lt;")</f>
        <v>&gt;&gt;&gt;数据应用类补充信息&lt;&lt;&lt;</v>
      </c>
      <c r="AG35" s="48"/>
      <c r="AH35" s="48" t="s">
        <v>277</v>
      </c>
      <c r="AI35" s="48" t="s">
        <v>680</v>
      </c>
      <c r="AJ35" s="48"/>
      <c r="AK35" s="47"/>
    </row>
    <row r="36" spans="1:37" ht="15" customHeight="1" x14ac:dyDescent="0.25">
      <c r="A36" s="47" t="s">
        <v>682</v>
      </c>
      <c r="B36" s="48" t="s">
        <v>278</v>
      </c>
      <c r="C36" s="48">
        <v>2024</v>
      </c>
      <c r="D36" s="48" t="s">
        <v>269</v>
      </c>
      <c r="E36" s="48" t="s">
        <v>683</v>
      </c>
      <c r="F36" s="48">
        <f>IFERROR(VLOOKUP($E36,客户清单!B:G,2,0),"")</f>
        <v>0</v>
      </c>
      <c r="G36" s="48" t="str">
        <f>IFERROR(VLOOKUP($E36,客户清单!B:G,3,0),"")</f>
        <v/>
      </c>
      <c r="H36" s="48" t="str">
        <f>IFERROR(VLOOKUP($E36,客户清单!B:G,4,0),"")</f>
        <v/>
      </c>
      <c r="I36" s="48" t="str">
        <f>IF(VLOOKUP($E36,客户清单!B:G,6,0)=0,"&lt;暂未更新&gt;",VLOOKUP($E36,客户清单!B:G,6,0))</f>
        <v>&lt;暂未更新&gt;</v>
      </c>
      <c r="J36" s="36" t="s">
        <v>321</v>
      </c>
      <c r="L36" s="36" t="s">
        <v>684</v>
      </c>
      <c r="N36" s="36" t="s">
        <v>268</v>
      </c>
      <c r="O36" s="36" t="s">
        <v>264</v>
      </c>
      <c r="P36" s="36" t="s">
        <v>685</v>
      </c>
      <c r="Q36" s="36" t="s">
        <v>268</v>
      </c>
      <c r="R36" s="36" t="s">
        <v>268</v>
      </c>
      <c r="S36" s="36" t="s">
        <v>268</v>
      </c>
      <c r="T36" s="36" t="s">
        <v>268</v>
      </c>
      <c r="U36" s="36" t="s">
        <v>268</v>
      </c>
      <c r="V36" s="36" t="s">
        <v>268</v>
      </c>
      <c r="W36" s="36" t="s">
        <v>268</v>
      </c>
      <c r="X36" s="36" t="s">
        <v>268</v>
      </c>
      <c r="Y36" s="36" t="s">
        <v>135</v>
      </c>
      <c r="Z36" s="36" t="s">
        <v>268</v>
      </c>
      <c r="AA36" s="36" t="s">
        <v>268</v>
      </c>
      <c r="AB36" s="49" t="s">
        <v>289</v>
      </c>
      <c r="AC36" s="48" t="s">
        <v>457</v>
      </c>
      <c r="AD36" s="48" t="s">
        <v>265</v>
      </c>
      <c r="AE36" s="48" t="str">
        <f>IFERROR(HYPERLINK("#'通用补充信息'!A"&amp;MATCH(A36, 通用补充信息!A:A, 0), "&gt;&gt;&gt;通用补充信息&lt;&lt;&lt;"), "&gt;&gt;&gt;暂无补充&lt;&lt;&lt;")</f>
        <v>&gt;&gt;&gt;通用补充信息&lt;&lt;&lt;</v>
      </c>
      <c r="AF36" s="48" t="str">
        <f>IFERROR(HYPERLINK("#'数据应用类补充信息'!A"&amp;MATCH(A36, 数据应用类补充信息!A:A, 0), "&gt;&gt;&gt;数据应用类补充信息&lt;&lt;&lt;"), "&gt;&gt;&gt;暂无补充&lt;&lt;&lt;")</f>
        <v>&gt;&gt;&gt;数据应用类补充信息&lt;&lt;&lt;</v>
      </c>
      <c r="AG36" s="48"/>
      <c r="AH36" s="48" t="s">
        <v>284</v>
      </c>
      <c r="AI36" s="48" t="s">
        <v>686</v>
      </c>
      <c r="AJ36" s="48"/>
      <c r="AK36" s="47"/>
    </row>
    <row r="37" spans="1:37" ht="15" customHeight="1" x14ac:dyDescent="0.25">
      <c r="A37" s="47" t="s">
        <v>690</v>
      </c>
      <c r="B37" s="48" t="s">
        <v>278</v>
      </c>
      <c r="C37" s="48">
        <v>2024</v>
      </c>
      <c r="D37" s="48" t="s">
        <v>269</v>
      </c>
      <c r="E37" s="48" t="s">
        <v>364</v>
      </c>
      <c r="F37" s="48">
        <f>IFERROR(VLOOKUP($E37,客户清单!B:G,2,0),"")</f>
        <v>0</v>
      </c>
      <c r="G37" s="48" t="str">
        <f>IFERROR(VLOOKUP($E37,客户清单!B:G,3,0),"")</f>
        <v/>
      </c>
      <c r="H37" s="48" t="str">
        <f>IFERROR(VLOOKUP($E37,客户清单!B:G,4,0),"")</f>
        <v/>
      </c>
      <c r="I37" s="48" t="str">
        <f>IF(VLOOKUP($E37,客户清单!B:G,6,0)=0,"&lt;暂未更新&gt;",VLOOKUP($E37,客户清单!B:G,6,0))</f>
        <v>&lt;暂未更新&gt;</v>
      </c>
      <c r="J37" s="36" t="s">
        <v>321</v>
      </c>
      <c r="L37" s="36" t="s">
        <v>691</v>
      </c>
      <c r="P37" s="36" t="s">
        <v>341</v>
      </c>
      <c r="AB37" s="49" t="s">
        <v>692</v>
      </c>
      <c r="AC37" s="48" t="s">
        <v>693</v>
      </c>
      <c r="AD37" s="48" t="s">
        <v>265</v>
      </c>
      <c r="AE37" s="48" t="str">
        <f>IFERROR(HYPERLINK("#'通用补充信息'!A"&amp;MATCH(A37, 通用补充信息!A:A, 0), "&gt;&gt;&gt;通用补充信息&lt;&lt;&lt;"), "&gt;&gt;&gt;暂无补充&lt;&lt;&lt;")</f>
        <v>&gt;&gt;&gt;通用补充信息&lt;&lt;&lt;</v>
      </c>
      <c r="AF37" s="48" t="str">
        <f>IFERROR(HYPERLINK("#'数据应用类补充信息'!A"&amp;MATCH(A37, 数据应用类补充信息!A:A, 0), "&gt;&gt;&gt;数据应用类补充信息&lt;&lt;&lt;"), "&gt;&gt;&gt;暂无补充&lt;&lt;&lt;")</f>
        <v>&gt;&gt;&gt;数据应用类补充信息&lt;&lt;&lt;</v>
      </c>
      <c r="AG37" s="48"/>
      <c r="AH37" s="48" t="s">
        <v>284</v>
      </c>
      <c r="AI37" s="48" t="s">
        <v>694</v>
      </c>
      <c r="AJ37" s="48"/>
      <c r="AK37" s="47"/>
    </row>
    <row r="38" spans="1:37" ht="15" customHeight="1" x14ac:dyDescent="0.25">
      <c r="AB38" s="49"/>
      <c r="AG38" s="48"/>
      <c r="AH38" s="48"/>
      <c r="AI38" s="48"/>
      <c r="AJ38" s="48"/>
      <c r="AK38" s="47"/>
    </row>
    <row r="39" spans="1:37" ht="15" customHeight="1" x14ac:dyDescent="0.25">
      <c r="AB39" s="49"/>
      <c r="AG39" s="48"/>
      <c r="AH39" s="48"/>
      <c r="AI39" s="48"/>
      <c r="AJ39" s="48"/>
      <c r="AK39" s="47"/>
    </row>
    <row r="40" spans="1:37" ht="15" customHeight="1" x14ac:dyDescent="0.25">
      <c r="AB40" s="49"/>
      <c r="AG40" s="48"/>
      <c r="AH40" s="48"/>
      <c r="AI40" s="48"/>
      <c r="AJ40" s="48"/>
      <c r="AK40" s="47"/>
    </row>
    <row r="41" spans="1:37" ht="15" customHeight="1" x14ac:dyDescent="0.25">
      <c r="AB41" s="49"/>
      <c r="AG41" s="48"/>
      <c r="AH41" s="48"/>
      <c r="AI41" s="48"/>
      <c r="AJ41" s="48"/>
      <c r="AK41" s="47"/>
    </row>
    <row r="42" spans="1:37" ht="15" customHeight="1" x14ac:dyDescent="0.25">
      <c r="AB42" s="49"/>
      <c r="AG42" s="48"/>
      <c r="AH42" s="48"/>
      <c r="AI42" s="48"/>
      <c r="AJ42" s="48"/>
      <c r="AK42" s="47"/>
    </row>
    <row r="43" spans="1:37" ht="15" customHeight="1" x14ac:dyDescent="0.25">
      <c r="AB43" s="49"/>
      <c r="AG43" s="48"/>
      <c r="AH43" s="48"/>
      <c r="AI43" s="48"/>
      <c r="AJ43" s="48"/>
      <c r="AK43" s="47"/>
    </row>
    <row r="44" spans="1:37" ht="15" customHeight="1" x14ac:dyDescent="0.25">
      <c r="AB44" s="49"/>
      <c r="AG44" s="48"/>
      <c r="AH44" s="48"/>
      <c r="AI44" s="48"/>
      <c r="AJ44" s="48"/>
      <c r="AK44" s="47"/>
    </row>
    <row r="45" spans="1:37" ht="15" customHeight="1" x14ac:dyDescent="0.25">
      <c r="AB45" s="49"/>
      <c r="AG45" s="48"/>
      <c r="AH45" s="48"/>
      <c r="AI45" s="48"/>
      <c r="AJ45" s="48"/>
      <c r="AK45" s="47"/>
    </row>
    <row r="46" spans="1:37" ht="15" customHeight="1" x14ac:dyDescent="0.25">
      <c r="AB46" s="49"/>
      <c r="AG46" s="48"/>
      <c r="AH46" s="48"/>
      <c r="AI46" s="48"/>
      <c r="AJ46" s="48"/>
      <c r="AK46" s="47"/>
    </row>
    <row r="47" spans="1:37" ht="15" customHeight="1" x14ac:dyDescent="0.25">
      <c r="AB47" s="49"/>
      <c r="AG47" s="48"/>
      <c r="AH47" s="48"/>
      <c r="AI47" s="48"/>
      <c r="AJ47" s="48"/>
      <c r="AK47" s="47"/>
    </row>
    <row r="48" spans="1:37" ht="15" customHeight="1" x14ac:dyDescent="0.25">
      <c r="AB48" s="49"/>
      <c r="AG48" s="48"/>
      <c r="AH48" s="48"/>
      <c r="AI48" s="48"/>
      <c r="AJ48" s="48"/>
      <c r="AK48" s="47"/>
    </row>
    <row r="49" spans="28:37" ht="15" customHeight="1" x14ac:dyDescent="0.25">
      <c r="AB49" s="49"/>
      <c r="AG49" s="48"/>
      <c r="AH49" s="48"/>
      <c r="AI49" s="48"/>
      <c r="AJ49" s="48"/>
      <c r="AK49" s="47"/>
    </row>
    <row r="50" spans="28:37" ht="15" customHeight="1" x14ac:dyDescent="0.25">
      <c r="AB50" s="49"/>
      <c r="AG50" s="48"/>
      <c r="AH50" s="48"/>
      <c r="AI50" s="48"/>
      <c r="AJ50" s="48"/>
      <c r="AK50" s="47"/>
    </row>
    <row r="51" spans="28:37" ht="15" customHeight="1" x14ac:dyDescent="0.25">
      <c r="AB51" s="49"/>
      <c r="AG51" s="48"/>
      <c r="AH51" s="48"/>
      <c r="AI51" s="48"/>
      <c r="AJ51" s="48"/>
      <c r="AK51" s="47"/>
    </row>
    <row r="52" spans="28:37" ht="15" customHeight="1" x14ac:dyDescent="0.25">
      <c r="AB52" s="49"/>
      <c r="AG52" s="48"/>
      <c r="AH52" s="48"/>
      <c r="AI52" s="48"/>
      <c r="AJ52" s="48"/>
      <c r="AK52" s="47"/>
    </row>
    <row r="53" spans="28:37" ht="15" customHeight="1" x14ac:dyDescent="0.25">
      <c r="AB53" s="49"/>
      <c r="AG53" s="48"/>
      <c r="AH53" s="48"/>
      <c r="AI53" s="48"/>
      <c r="AJ53" s="48"/>
      <c r="AK53" s="47"/>
    </row>
    <row r="54" spans="28:37" ht="15" customHeight="1" x14ac:dyDescent="0.25">
      <c r="AB54" s="49"/>
      <c r="AG54" s="48"/>
      <c r="AH54" s="48"/>
      <c r="AI54" s="48"/>
      <c r="AJ54" s="48"/>
      <c r="AK54" s="47"/>
    </row>
    <row r="55" spans="28:37" ht="15" customHeight="1" x14ac:dyDescent="0.25">
      <c r="AB55" s="49"/>
      <c r="AG55" s="48"/>
      <c r="AH55" s="48"/>
      <c r="AI55" s="48"/>
      <c r="AJ55" s="48"/>
      <c r="AK55" s="47"/>
    </row>
    <row r="56" spans="28:37" ht="15" customHeight="1" x14ac:dyDescent="0.25">
      <c r="AB56" s="49"/>
      <c r="AG56" s="48"/>
      <c r="AH56" s="48"/>
      <c r="AI56" s="48"/>
      <c r="AJ56" s="48"/>
      <c r="AK56" s="47"/>
    </row>
    <row r="57" spans="28:37" ht="15" customHeight="1" x14ac:dyDescent="0.25">
      <c r="AB57" s="49"/>
      <c r="AG57" s="48"/>
      <c r="AH57" s="48"/>
      <c r="AI57" s="48"/>
      <c r="AJ57" s="48"/>
      <c r="AK57" s="47"/>
    </row>
    <row r="58" spans="28:37" ht="15" customHeight="1" x14ac:dyDescent="0.25">
      <c r="AB58" s="49"/>
      <c r="AG58" s="48"/>
      <c r="AH58" s="48"/>
      <c r="AI58" s="48"/>
      <c r="AJ58" s="48"/>
      <c r="AK58" s="47"/>
    </row>
    <row r="59" spans="28:37" ht="15" customHeight="1" x14ac:dyDescent="0.25">
      <c r="AB59" s="49"/>
      <c r="AG59" s="48"/>
      <c r="AH59" s="48"/>
      <c r="AI59" s="48"/>
      <c r="AJ59" s="48"/>
      <c r="AK59" s="47"/>
    </row>
    <row r="60" spans="28:37" ht="15" customHeight="1" x14ac:dyDescent="0.25">
      <c r="AB60" s="49"/>
      <c r="AG60" s="48"/>
      <c r="AH60" s="48"/>
      <c r="AI60" s="48"/>
      <c r="AJ60" s="48"/>
      <c r="AK60" s="47"/>
    </row>
    <row r="61" spans="28:37" ht="15" customHeight="1" x14ac:dyDescent="0.25">
      <c r="AB61" s="49"/>
      <c r="AG61" s="48"/>
      <c r="AH61" s="48"/>
      <c r="AI61" s="48"/>
      <c r="AJ61" s="48"/>
      <c r="AK61" s="47"/>
    </row>
    <row r="62" spans="28:37" ht="15" customHeight="1" x14ac:dyDescent="0.25">
      <c r="AB62" s="49"/>
      <c r="AG62" s="48"/>
      <c r="AH62" s="48"/>
      <c r="AI62" s="48"/>
      <c r="AJ62" s="48"/>
      <c r="AK62" s="47"/>
    </row>
    <row r="63" spans="28:37" ht="15" customHeight="1" x14ac:dyDescent="0.25">
      <c r="AB63" s="49"/>
      <c r="AG63" s="48"/>
      <c r="AH63" s="48"/>
      <c r="AI63" s="48"/>
      <c r="AJ63" s="48"/>
      <c r="AK63" s="47"/>
    </row>
    <row r="64" spans="28:37" ht="15" customHeight="1" x14ac:dyDescent="0.25">
      <c r="AB64" s="49"/>
      <c r="AG64" s="48"/>
      <c r="AH64" s="48"/>
      <c r="AI64" s="48"/>
      <c r="AJ64" s="48"/>
      <c r="AK64" s="47"/>
    </row>
    <row r="65" spans="28:37" ht="15" customHeight="1" x14ac:dyDescent="0.25">
      <c r="AB65" s="49"/>
      <c r="AG65" s="48"/>
      <c r="AH65" s="48"/>
      <c r="AI65" s="48"/>
      <c r="AJ65" s="48"/>
      <c r="AK65" s="47"/>
    </row>
    <row r="66" spans="28:37" ht="15" customHeight="1" x14ac:dyDescent="0.25">
      <c r="AB66" s="49"/>
      <c r="AG66" s="48"/>
      <c r="AH66" s="48"/>
      <c r="AI66" s="48"/>
      <c r="AJ66" s="48"/>
      <c r="AK66" s="47"/>
    </row>
    <row r="67" spans="28:37" ht="15" customHeight="1" x14ac:dyDescent="0.25">
      <c r="AB67" s="49"/>
      <c r="AG67" s="48"/>
      <c r="AH67" s="48"/>
      <c r="AI67" s="48"/>
      <c r="AJ67" s="48"/>
      <c r="AK67" s="47"/>
    </row>
  </sheetData>
  <sortState xmlns:xlrd2="http://schemas.microsoft.com/office/spreadsheetml/2017/richdata2" ref="A3:AJ3">
    <sortCondition descending="1" ref="A3"/>
  </sortState>
  <mergeCells count="15">
    <mergeCell ref="M2:M3"/>
    <mergeCell ref="AK1:AK3"/>
    <mergeCell ref="A1:D2"/>
    <mergeCell ref="E1:I2"/>
    <mergeCell ref="AG1:AH2"/>
    <mergeCell ref="AB1:AD2"/>
    <mergeCell ref="AI1:AI3"/>
    <mergeCell ref="AJ1:AJ3"/>
    <mergeCell ref="AE1:AF2"/>
    <mergeCell ref="O2:P2"/>
    <mergeCell ref="Q2:R2"/>
    <mergeCell ref="S2:U2"/>
    <mergeCell ref="V2:Y2"/>
    <mergeCell ref="J1:L2"/>
    <mergeCell ref="M1:AA1"/>
  </mergeCells>
  <phoneticPr fontId="8" type="noConversion"/>
  <dataValidations disablePrompts="1" count="1">
    <dataValidation type="list" allowBlank="1" showInputMessage="1" showErrorMessage="1" sqref="AD3" xr:uid="{00000000-0002-0000-0000-000000000000}">
      <formula1>"已完成,实施中"</formula1>
    </dataValidation>
  </dataValidations>
  <pageMargins left="0.69930555555555596" right="0.69930555555555596"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4B3F4-83C1-40B0-8FAE-343FE06893F0}">
  <sheetPr codeName="Sheet3"/>
  <dimension ref="A1:V67"/>
  <sheetViews>
    <sheetView workbookViewId="0">
      <selection activeCell="A67" sqref="A67"/>
    </sheetView>
  </sheetViews>
  <sheetFormatPr defaultRowHeight="15.15" x14ac:dyDescent="0.35"/>
  <cols>
    <col min="1" max="1" width="37.109375" style="43" customWidth="1"/>
    <col min="2" max="2" width="13.21875" style="43" customWidth="1"/>
    <col min="3" max="3" width="15.33203125" style="43" customWidth="1"/>
    <col min="4" max="6" width="8.88671875" style="43"/>
    <col min="7" max="9" width="12.44140625" style="43" customWidth="1"/>
    <col min="10" max="10" width="16.21875" style="43" customWidth="1"/>
    <col min="11" max="11" width="11.6640625" style="43" customWidth="1"/>
    <col min="12" max="14" width="8.88671875" style="43"/>
    <col min="15" max="17" width="16.6640625" style="43" customWidth="1"/>
    <col min="18" max="18" width="19.88671875" style="43" customWidth="1"/>
    <col min="19" max="19" width="14.6640625" style="43" customWidth="1"/>
    <col min="20" max="20" width="19.6640625" style="43" customWidth="1"/>
    <col min="21" max="21" width="13.88671875" style="43" customWidth="1"/>
    <col min="22" max="16384" width="8.88671875" style="43"/>
  </cols>
  <sheetData>
    <row r="1" spans="1:22" x14ac:dyDescent="0.35">
      <c r="A1" s="42" t="s">
        <v>215</v>
      </c>
    </row>
    <row r="2" spans="1:22" s="1" customFormat="1" ht="33" customHeight="1" x14ac:dyDescent="0.25">
      <c r="A2" s="50" t="s">
        <v>233</v>
      </c>
      <c r="B2" s="75" t="s">
        <v>234</v>
      </c>
      <c r="C2" s="75"/>
      <c r="D2" s="75"/>
      <c r="E2" s="75"/>
      <c r="F2" s="75"/>
      <c r="G2" s="75"/>
      <c r="H2" s="75"/>
      <c r="I2" s="75"/>
      <c r="J2" s="75"/>
      <c r="K2" s="75"/>
      <c r="L2" s="75"/>
      <c r="M2" s="75"/>
      <c r="N2" s="75"/>
      <c r="O2" s="75"/>
      <c r="P2" s="76" t="s">
        <v>187</v>
      </c>
      <c r="Q2" s="76"/>
      <c r="R2" s="76"/>
      <c r="S2" s="77" t="s">
        <v>159</v>
      </c>
      <c r="T2" s="77"/>
      <c r="U2" s="77"/>
      <c r="V2" s="9" t="s">
        <v>235</v>
      </c>
    </row>
    <row r="3" spans="1:22" s="8" customFormat="1" ht="65.2" customHeight="1" x14ac:dyDescent="0.25">
      <c r="A3" s="7" t="s">
        <v>236</v>
      </c>
      <c r="B3" s="17" t="s">
        <v>237</v>
      </c>
      <c r="C3" s="17" t="s">
        <v>238</v>
      </c>
      <c r="D3" s="17" t="s">
        <v>239</v>
      </c>
      <c r="E3" s="17" t="s">
        <v>240</v>
      </c>
      <c r="F3" s="17" t="s">
        <v>241</v>
      </c>
      <c r="G3" s="17" t="s">
        <v>242</v>
      </c>
      <c r="H3" s="17" t="s">
        <v>243</v>
      </c>
      <c r="I3" s="17" t="s">
        <v>231</v>
      </c>
      <c r="J3" s="17" t="s">
        <v>244</v>
      </c>
      <c r="K3" s="17" t="s">
        <v>245</v>
      </c>
      <c r="L3" s="17" t="s">
        <v>246</v>
      </c>
      <c r="M3" s="17" t="s">
        <v>247</v>
      </c>
      <c r="N3" s="17" t="s">
        <v>248</v>
      </c>
      <c r="O3" s="17" t="s">
        <v>249</v>
      </c>
      <c r="P3" s="24" t="s">
        <v>250</v>
      </c>
      <c r="Q3" s="16" t="s">
        <v>251</v>
      </c>
      <c r="R3" s="16" t="s">
        <v>252</v>
      </c>
      <c r="S3" s="18" t="s">
        <v>253</v>
      </c>
      <c r="T3" s="18" t="s">
        <v>254</v>
      </c>
      <c r="U3" s="18" t="s">
        <v>255</v>
      </c>
      <c r="V3" s="9"/>
    </row>
    <row r="4" spans="1:22" s="2" customFormat="1" ht="15" customHeight="1" x14ac:dyDescent="0.25">
      <c r="A4" s="3" t="s">
        <v>365</v>
      </c>
      <c r="B4" s="3" t="s">
        <v>267</v>
      </c>
      <c r="C4" s="3" t="s">
        <v>373</v>
      </c>
      <c r="D4" s="3" t="s">
        <v>268</v>
      </c>
      <c r="E4" s="3" t="s">
        <v>268</v>
      </c>
      <c r="F4" s="3"/>
      <c r="G4" s="3"/>
      <c r="H4" s="3"/>
      <c r="I4" s="3"/>
      <c r="J4" s="3"/>
      <c r="K4" s="3"/>
      <c r="L4" s="3"/>
      <c r="M4" s="3"/>
      <c r="N4" s="3"/>
      <c r="O4" s="3"/>
      <c r="P4" s="3" t="s">
        <v>268</v>
      </c>
      <c r="Q4" s="3" t="s">
        <v>268</v>
      </c>
      <c r="R4" s="3" t="s">
        <v>269</v>
      </c>
      <c r="S4" s="3" t="s">
        <v>268</v>
      </c>
      <c r="T4" s="25" t="s">
        <v>268</v>
      </c>
      <c r="U4" s="25" t="s">
        <v>268</v>
      </c>
      <c r="V4" s="3"/>
    </row>
    <row r="5" spans="1:22" ht="15" customHeight="1" x14ac:dyDescent="0.35">
      <c r="A5" s="44" t="s">
        <v>376</v>
      </c>
      <c r="B5" s="44" t="s">
        <v>319</v>
      </c>
      <c r="C5" s="44" t="s">
        <v>268</v>
      </c>
      <c r="D5" s="44" t="s">
        <v>268</v>
      </c>
      <c r="E5" s="44" t="s">
        <v>268</v>
      </c>
      <c r="F5" s="44" t="s">
        <v>268</v>
      </c>
      <c r="G5" s="44" t="s">
        <v>268</v>
      </c>
      <c r="H5" s="44" t="s">
        <v>268</v>
      </c>
      <c r="I5" s="44" t="s">
        <v>268</v>
      </c>
      <c r="J5" s="44" t="s">
        <v>268</v>
      </c>
      <c r="K5" s="44" t="s">
        <v>268</v>
      </c>
      <c r="L5" s="44" t="s">
        <v>268</v>
      </c>
      <c r="M5" s="44" t="s">
        <v>268</v>
      </c>
      <c r="N5" s="44" t="s">
        <v>268</v>
      </c>
      <c r="O5" s="44"/>
      <c r="P5" s="44"/>
      <c r="Q5" s="44"/>
      <c r="R5" s="44"/>
      <c r="S5" s="44"/>
      <c r="T5" s="44"/>
      <c r="U5" s="44"/>
      <c r="V5" s="44"/>
    </row>
    <row r="6" spans="1:22" ht="15" customHeight="1" x14ac:dyDescent="0.35">
      <c r="A6" s="44" t="s">
        <v>384</v>
      </c>
      <c r="B6" s="44" t="s">
        <v>267</v>
      </c>
      <c r="C6" s="44" t="s">
        <v>283</v>
      </c>
      <c r="D6" s="44">
        <v>317</v>
      </c>
      <c r="E6" s="44" t="s">
        <v>268</v>
      </c>
      <c r="F6" s="44" t="s">
        <v>292</v>
      </c>
      <c r="G6" s="44" t="s">
        <v>393</v>
      </c>
      <c r="H6" s="44" t="s">
        <v>394</v>
      </c>
      <c r="I6" s="44" t="s">
        <v>395</v>
      </c>
      <c r="J6" s="44" t="s">
        <v>396</v>
      </c>
      <c r="K6" s="44" t="s">
        <v>281</v>
      </c>
      <c r="L6" s="44" t="s">
        <v>397</v>
      </c>
      <c r="M6" s="44" t="s">
        <v>398</v>
      </c>
      <c r="N6" s="44" t="s">
        <v>310</v>
      </c>
      <c r="O6" s="44"/>
      <c r="P6" s="44" t="s">
        <v>399</v>
      </c>
      <c r="Q6" s="3" t="s">
        <v>262</v>
      </c>
      <c r="R6" s="3" t="s">
        <v>269</v>
      </c>
      <c r="S6" s="44" t="s">
        <v>268</v>
      </c>
      <c r="T6" s="44" t="s">
        <v>268</v>
      </c>
      <c r="U6" s="44" t="s">
        <v>268</v>
      </c>
      <c r="V6" s="44"/>
    </row>
    <row r="7" spans="1:22" ht="15" customHeight="1" x14ac:dyDescent="0.35">
      <c r="A7" s="41" t="s">
        <v>401</v>
      </c>
      <c r="B7" s="44" t="s">
        <v>267</v>
      </c>
      <c r="C7" s="44" t="s">
        <v>283</v>
      </c>
      <c r="D7" s="44">
        <v>317</v>
      </c>
      <c r="E7" s="44" t="s">
        <v>268</v>
      </c>
      <c r="F7" s="44" t="s">
        <v>292</v>
      </c>
      <c r="G7" s="44" t="s">
        <v>393</v>
      </c>
      <c r="H7" s="44" t="s">
        <v>394</v>
      </c>
      <c r="I7" s="44" t="s">
        <v>395</v>
      </c>
      <c r="J7" s="44" t="s">
        <v>396</v>
      </c>
      <c r="K7" s="44" t="s">
        <v>281</v>
      </c>
      <c r="L7" s="44" t="s">
        <v>397</v>
      </c>
      <c r="M7" s="44" t="s">
        <v>398</v>
      </c>
      <c r="N7" s="44" t="s">
        <v>310</v>
      </c>
      <c r="O7" s="44"/>
      <c r="P7" s="44" t="s">
        <v>408</v>
      </c>
      <c r="Q7" s="44" t="s">
        <v>262</v>
      </c>
      <c r="R7" s="44" t="s">
        <v>269</v>
      </c>
      <c r="S7" s="44" t="s">
        <v>268</v>
      </c>
      <c r="T7" s="44" t="s">
        <v>268</v>
      </c>
      <c r="U7" s="44" t="s">
        <v>268</v>
      </c>
      <c r="V7" s="44"/>
    </row>
    <row r="8" spans="1:22" ht="15" customHeight="1" x14ac:dyDescent="0.35">
      <c r="A8" s="41" t="s">
        <v>409</v>
      </c>
      <c r="B8" s="44" t="s">
        <v>267</v>
      </c>
      <c r="C8" s="44" t="s">
        <v>283</v>
      </c>
      <c r="D8" s="44">
        <v>10</v>
      </c>
      <c r="E8" s="44" t="s">
        <v>268</v>
      </c>
      <c r="F8" s="44" t="s">
        <v>274</v>
      </c>
      <c r="G8" s="44" t="s">
        <v>302</v>
      </c>
      <c r="H8" s="44" t="s">
        <v>303</v>
      </c>
      <c r="I8" s="44" t="s">
        <v>299</v>
      </c>
      <c r="J8" s="44" t="s">
        <v>280</v>
      </c>
      <c r="K8" s="44" t="s">
        <v>281</v>
      </c>
      <c r="L8" s="44" t="s">
        <v>272</v>
      </c>
      <c r="M8" s="44" t="s">
        <v>313</v>
      </c>
      <c r="N8" s="44" t="s">
        <v>310</v>
      </c>
      <c r="O8" s="44"/>
      <c r="P8" s="44" t="s">
        <v>417</v>
      </c>
      <c r="Q8" s="44" t="s">
        <v>269</v>
      </c>
      <c r="R8" s="44" t="s">
        <v>262</v>
      </c>
      <c r="S8" s="44" t="s">
        <v>293</v>
      </c>
      <c r="T8" s="44" t="s">
        <v>314</v>
      </c>
      <c r="U8" s="44" t="s">
        <v>315</v>
      </c>
      <c r="V8" s="44"/>
    </row>
    <row r="9" spans="1:22" ht="15" customHeight="1" x14ac:dyDescent="0.35">
      <c r="A9" s="41" t="s">
        <v>418</v>
      </c>
      <c r="B9" s="44" t="s">
        <v>267</v>
      </c>
      <c r="C9" s="44" t="s">
        <v>283</v>
      </c>
      <c r="D9" s="44">
        <v>10</v>
      </c>
      <c r="E9" s="44" t="s">
        <v>268</v>
      </c>
      <c r="F9" s="44" t="s">
        <v>274</v>
      </c>
      <c r="G9" s="44" t="s">
        <v>302</v>
      </c>
      <c r="H9" s="44" t="s">
        <v>303</v>
      </c>
      <c r="I9" s="44" t="s">
        <v>299</v>
      </c>
      <c r="J9" s="44" t="s">
        <v>280</v>
      </c>
      <c r="K9" s="44" t="s">
        <v>281</v>
      </c>
      <c r="L9" s="44" t="s">
        <v>272</v>
      </c>
      <c r="M9" s="44" t="s">
        <v>313</v>
      </c>
      <c r="N9" s="44" t="s">
        <v>310</v>
      </c>
      <c r="O9" s="44"/>
      <c r="P9" s="44" t="s">
        <v>417</v>
      </c>
      <c r="Q9" s="44" t="s">
        <v>269</v>
      </c>
      <c r="R9" s="44" t="s">
        <v>262</v>
      </c>
      <c r="S9" s="44" t="s">
        <v>293</v>
      </c>
      <c r="T9" s="44" t="s">
        <v>314</v>
      </c>
      <c r="U9" s="44" t="s">
        <v>315</v>
      </c>
      <c r="V9" s="44"/>
    </row>
    <row r="10" spans="1:22" s="2" customFormat="1" ht="15" customHeight="1" x14ac:dyDescent="0.25">
      <c r="A10" s="29" t="s">
        <v>428</v>
      </c>
      <c r="B10" s="3" t="s">
        <v>332</v>
      </c>
      <c r="C10" s="3" t="s">
        <v>268</v>
      </c>
      <c r="D10" s="3" t="s">
        <v>268</v>
      </c>
      <c r="E10" s="3" t="s">
        <v>268</v>
      </c>
      <c r="F10" s="3" t="s">
        <v>268</v>
      </c>
      <c r="G10" s="3" t="s">
        <v>268</v>
      </c>
      <c r="H10" s="3" t="s">
        <v>268</v>
      </c>
      <c r="I10" s="3" t="s">
        <v>268</v>
      </c>
      <c r="J10" s="3" t="s">
        <v>268</v>
      </c>
      <c r="K10" s="3" t="s">
        <v>268</v>
      </c>
      <c r="L10" s="3" t="s">
        <v>268</v>
      </c>
      <c r="M10" s="3" t="s">
        <v>268</v>
      </c>
      <c r="N10" s="3" t="s">
        <v>268</v>
      </c>
      <c r="O10" s="3"/>
      <c r="P10" s="3"/>
      <c r="Q10" s="3"/>
      <c r="R10" s="3"/>
      <c r="S10" s="3"/>
      <c r="T10" s="25"/>
      <c r="U10" s="25"/>
      <c r="V10" s="3"/>
    </row>
    <row r="11" spans="1:22" s="2" customFormat="1" ht="15" customHeight="1" x14ac:dyDescent="0.25">
      <c r="A11" s="3" t="s">
        <v>433</v>
      </c>
      <c r="B11" s="3" t="s">
        <v>298</v>
      </c>
      <c r="C11" s="3" t="s">
        <v>442</v>
      </c>
      <c r="D11" s="3">
        <v>2</v>
      </c>
      <c r="E11" s="3" t="s">
        <v>268</v>
      </c>
      <c r="F11" s="3" t="s">
        <v>268</v>
      </c>
      <c r="G11" s="3" t="s">
        <v>443</v>
      </c>
      <c r="H11" s="3" t="s">
        <v>268</v>
      </c>
      <c r="I11" s="3" t="s">
        <v>444</v>
      </c>
      <c r="J11" s="3" t="s">
        <v>268</v>
      </c>
      <c r="K11" s="3" t="s">
        <v>268</v>
      </c>
      <c r="L11" s="3" t="s">
        <v>324</v>
      </c>
      <c r="M11" s="3" t="s">
        <v>318</v>
      </c>
      <c r="N11" s="3" t="s">
        <v>268</v>
      </c>
      <c r="O11" s="3"/>
      <c r="P11" s="3" t="s">
        <v>268</v>
      </c>
      <c r="Q11" s="3" t="s">
        <v>268</v>
      </c>
      <c r="R11" s="3" t="s">
        <v>262</v>
      </c>
      <c r="S11" s="3" t="s">
        <v>445</v>
      </c>
      <c r="T11" s="25" t="s">
        <v>339</v>
      </c>
      <c r="U11" s="25" t="s">
        <v>446</v>
      </c>
      <c r="V11" s="3"/>
    </row>
    <row r="12" spans="1:22" customFormat="1" ht="15" customHeight="1" x14ac:dyDescent="0.35">
      <c r="A12" s="3" t="s">
        <v>448</v>
      </c>
      <c r="B12" s="44" t="s">
        <v>331</v>
      </c>
      <c r="C12" s="44" t="s">
        <v>459</v>
      </c>
      <c r="D12" s="44" t="s">
        <v>460</v>
      </c>
      <c r="E12" s="44" t="s">
        <v>268</v>
      </c>
      <c r="F12" s="44" t="s">
        <v>268</v>
      </c>
      <c r="G12" s="44" t="s">
        <v>461</v>
      </c>
      <c r="H12" s="44" t="s">
        <v>461</v>
      </c>
      <c r="I12" s="44" t="s">
        <v>461</v>
      </c>
      <c r="J12" s="44" t="s">
        <v>268</v>
      </c>
      <c r="K12" s="44" t="s">
        <v>268</v>
      </c>
      <c r="L12" s="44" t="s">
        <v>462</v>
      </c>
      <c r="M12" s="44" t="s">
        <v>463</v>
      </c>
      <c r="N12" s="44" t="s">
        <v>268</v>
      </c>
      <c r="O12" s="44"/>
      <c r="P12" s="3"/>
      <c r="Q12" s="44"/>
      <c r="R12" s="44"/>
      <c r="S12" s="44"/>
      <c r="T12" s="44"/>
      <c r="U12" s="44"/>
      <c r="V12" s="44"/>
    </row>
    <row r="13" spans="1:22" s="2" customFormat="1" ht="15" customHeight="1" x14ac:dyDescent="0.25">
      <c r="A13" s="3" t="s">
        <v>464</v>
      </c>
      <c r="B13" s="3" t="s">
        <v>471</v>
      </c>
      <c r="C13" s="3" t="s">
        <v>472</v>
      </c>
      <c r="D13" s="3" t="s">
        <v>268</v>
      </c>
      <c r="E13" s="3" t="s">
        <v>268</v>
      </c>
      <c r="F13" s="3" t="s">
        <v>268</v>
      </c>
      <c r="G13" s="3" t="s">
        <v>473</v>
      </c>
      <c r="H13" s="3" t="s">
        <v>268</v>
      </c>
      <c r="I13" s="3" t="s">
        <v>268</v>
      </c>
      <c r="J13" s="3" t="s">
        <v>268</v>
      </c>
      <c r="K13" s="3" t="s">
        <v>268</v>
      </c>
      <c r="L13" s="3" t="s">
        <v>268</v>
      </c>
      <c r="M13" s="3" t="s">
        <v>268</v>
      </c>
      <c r="N13" s="3" t="s">
        <v>268</v>
      </c>
      <c r="O13" s="3"/>
      <c r="P13" s="3"/>
      <c r="Q13" s="3"/>
      <c r="R13" s="3"/>
      <c r="S13" s="3"/>
      <c r="T13" s="25"/>
      <c r="U13" s="25"/>
      <c r="V13" s="3"/>
    </row>
    <row r="14" spans="1:22" customFormat="1" ht="15" customHeight="1" x14ac:dyDescent="0.35">
      <c r="A14" s="44" t="s">
        <v>474</v>
      </c>
      <c r="B14" s="44" t="s">
        <v>298</v>
      </c>
      <c r="C14" s="44" t="s">
        <v>484</v>
      </c>
      <c r="D14" s="44">
        <v>1</v>
      </c>
      <c r="E14" s="44" t="s">
        <v>268</v>
      </c>
      <c r="F14" s="44" t="s">
        <v>274</v>
      </c>
      <c r="G14" s="44" t="s">
        <v>485</v>
      </c>
      <c r="H14" s="44" t="s">
        <v>303</v>
      </c>
      <c r="I14" s="44" t="s">
        <v>343</v>
      </c>
      <c r="J14" s="44" t="s">
        <v>280</v>
      </c>
      <c r="K14" s="44" t="s">
        <v>281</v>
      </c>
      <c r="L14" s="44" t="s">
        <v>272</v>
      </c>
      <c r="M14" s="44" t="s">
        <v>313</v>
      </c>
      <c r="N14" s="44" t="s">
        <v>300</v>
      </c>
      <c r="O14" s="44"/>
      <c r="P14" s="44"/>
      <c r="Q14" s="3"/>
      <c r="R14" s="3"/>
      <c r="S14" s="44"/>
      <c r="T14" s="44"/>
      <c r="U14" s="44"/>
      <c r="V14" s="44"/>
    </row>
    <row r="15" spans="1:22" customFormat="1" ht="15" customHeight="1" x14ac:dyDescent="0.35">
      <c r="A15" s="44" t="s">
        <v>486</v>
      </c>
      <c r="B15" s="44" t="s">
        <v>298</v>
      </c>
      <c r="C15" s="44" t="s">
        <v>492</v>
      </c>
      <c r="D15" s="3">
        <v>4</v>
      </c>
      <c r="E15" s="44" t="s">
        <v>268</v>
      </c>
      <c r="F15" s="44" t="s">
        <v>268</v>
      </c>
      <c r="G15" s="44" t="s">
        <v>268</v>
      </c>
      <c r="H15" s="44" t="s">
        <v>268</v>
      </c>
      <c r="I15" s="44" t="s">
        <v>493</v>
      </c>
      <c r="J15" s="44" t="s">
        <v>268</v>
      </c>
      <c r="K15" s="44" t="s">
        <v>268</v>
      </c>
      <c r="L15" s="44" t="s">
        <v>494</v>
      </c>
      <c r="M15" s="44" t="s">
        <v>495</v>
      </c>
      <c r="N15" s="44"/>
      <c r="O15" s="44"/>
      <c r="P15" s="44" t="s">
        <v>496</v>
      </c>
      <c r="Q15" s="44" t="s">
        <v>269</v>
      </c>
      <c r="R15" s="44" t="s">
        <v>269</v>
      </c>
      <c r="S15" s="44" t="s">
        <v>268</v>
      </c>
      <c r="T15" s="44" t="s">
        <v>268</v>
      </c>
      <c r="U15" s="53" t="s">
        <v>268</v>
      </c>
      <c r="V15" s="44"/>
    </row>
    <row r="16" spans="1:22" customFormat="1" ht="15" customHeight="1" x14ac:dyDescent="0.35">
      <c r="A16" s="4" t="s">
        <v>499</v>
      </c>
      <c r="B16" s="44" t="s">
        <v>308</v>
      </c>
      <c r="C16" s="44" t="s">
        <v>268</v>
      </c>
      <c r="D16" s="44" t="s">
        <v>268</v>
      </c>
      <c r="E16" s="44" t="s">
        <v>268</v>
      </c>
      <c r="F16" s="44" t="s">
        <v>268</v>
      </c>
      <c r="G16" s="44" t="s">
        <v>268</v>
      </c>
      <c r="H16" s="44" t="s">
        <v>268</v>
      </c>
      <c r="I16" s="44" t="s">
        <v>268</v>
      </c>
      <c r="J16" s="44" t="s">
        <v>268</v>
      </c>
      <c r="K16" s="44" t="s">
        <v>268</v>
      </c>
      <c r="L16" s="44" t="s">
        <v>268</v>
      </c>
      <c r="M16" s="44" t="s">
        <v>268</v>
      </c>
      <c r="N16" s="44" t="s">
        <v>268</v>
      </c>
      <c r="O16" s="44"/>
      <c r="P16" s="44" t="s">
        <v>347</v>
      </c>
      <c r="Q16" s="44" t="s">
        <v>269</v>
      </c>
      <c r="R16" s="44" t="s">
        <v>269</v>
      </c>
      <c r="S16" s="44" t="s">
        <v>268</v>
      </c>
      <c r="T16" s="44" t="s">
        <v>268</v>
      </c>
      <c r="U16" s="44" t="s">
        <v>268</v>
      </c>
      <c r="V16" s="44"/>
    </row>
    <row r="17" spans="1:22" customFormat="1" ht="15" customHeight="1" x14ac:dyDescent="0.35">
      <c r="A17" s="4" t="s">
        <v>503</v>
      </c>
      <c r="B17" s="44" t="s">
        <v>273</v>
      </c>
      <c r="C17" s="44" t="s">
        <v>268</v>
      </c>
      <c r="D17" s="44" t="s">
        <v>268</v>
      </c>
      <c r="E17" s="44" t="s">
        <v>268</v>
      </c>
      <c r="F17" s="44" t="s">
        <v>268</v>
      </c>
      <c r="G17" s="44" t="s">
        <v>268</v>
      </c>
      <c r="H17" s="44" t="s">
        <v>268</v>
      </c>
      <c r="I17" s="44" t="s">
        <v>268</v>
      </c>
      <c r="J17" s="44" t="s">
        <v>268</v>
      </c>
      <c r="K17" s="44" t="s">
        <v>268</v>
      </c>
      <c r="L17" s="44" t="s">
        <v>268</v>
      </c>
      <c r="M17" s="44" t="s">
        <v>268</v>
      </c>
      <c r="N17" s="44" t="s">
        <v>268</v>
      </c>
      <c r="O17" s="44"/>
      <c r="P17" s="44" t="s">
        <v>268</v>
      </c>
      <c r="Q17" s="44" t="s">
        <v>269</v>
      </c>
      <c r="R17" s="44" t="s">
        <v>269</v>
      </c>
      <c r="S17" s="44" t="s">
        <v>268</v>
      </c>
      <c r="T17" s="44" t="s">
        <v>268</v>
      </c>
      <c r="U17" s="44" t="s">
        <v>268</v>
      </c>
      <c r="V17" s="44"/>
    </row>
    <row r="18" spans="1:22" customFormat="1" ht="15" customHeight="1" x14ac:dyDescent="0.35">
      <c r="A18" s="44" t="s">
        <v>508</v>
      </c>
      <c r="B18" s="44" t="s">
        <v>516</v>
      </c>
      <c r="C18" s="44" t="s">
        <v>517</v>
      </c>
      <c r="D18" s="44">
        <v>38</v>
      </c>
      <c r="E18" s="44" t="s">
        <v>268</v>
      </c>
      <c r="F18" s="44" t="s">
        <v>292</v>
      </c>
      <c r="G18" s="44" t="s">
        <v>317</v>
      </c>
      <c r="H18" s="44"/>
      <c r="I18" s="44" t="s">
        <v>518</v>
      </c>
      <c r="J18" s="44"/>
      <c r="K18" s="44" t="s">
        <v>281</v>
      </c>
      <c r="L18" s="44" t="s">
        <v>519</v>
      </c>
      <c r="M18" s="44" t="s">
        <v>290</v>
      </c>
      <c r="N18" s="44"/>
      <c r="O18" s="44"/>
      <c r="P18" s="44" t="s">
        <v>520</v>
      </c>
      <c r="Q18" s="44" t="s">
        <v>269</v>
      </c>
      <c r="R18" s="44" t="s">
        <v>262</v>
      </c>
      <c r="S18" s="44" t="s">
        <v>521</v>
      </c>
      <c r="T18" s="44"/>
      <c r="U18" s="44" t="s">
        <v>288</v>
      </c>
      <c r="V18" s="44"/>
    </row>
    <row r="19" spans="1:22" s="2" customFormat="1" ht="15" customHeight="1" x14ac:dyDescent="0.25">
      <c r="A19" s="29" t="s">
        <v>523</v>
      </c>
      <c r="B19" s="3" t="s">
        <v>268</v>
      </c>
      <c r="C19" s="3" t="s">
        <v>268</v>
      </c>
      <c r="D19" s="3" t="s">
        <v>268</v>
      </c>
      <c r="E19" s="3" t="s">
        <v>268</v>
      </c>
      <c r="F19" s="3" t="s">
        <v>268</v>
      </c>
      <c r="G19" s="3" t="s">
        <v>268</v>
      </c>
      <c r="H19" s="3" t="s">
        <v>268</v>
      </c>
      <c r="I19" s="3" t="s">
        <v>268</v>
      </c>
      <c r="J19" s="3" t="s">
        <v>268</v>
      </c>
      <c r="K19" s="3" t="s">
        <v>268</v>
      </c>
      <c r="L19" s="3" t="s">
        <v>268</v>
      </c>
      <c r="M19" s="3" t="s">
        <v>268</v>
      </c>
      <c r="N19" s="3" t="s">
        <v>268</v>
      </c>
      <c r="O19" s="3"/>
      <c r="P19" s="3" t="s">
        <v>268</v>
      </c>
      <c r="Q19" s="3" t="s">
        <v>268</v>
      </c>
      <c r="R19" s="3" t="s">
        <v>268</v>
      </c>
      <c r="S19" s="3" t="s">
        <v>268</v>
      </c>
      <c r="T19" s="25" t="s">
        <v>268</v>
      </c>
      <c r="U19" s="25" t="s">
        <v>268</v>
      </c>
      <c r="V19" s="3"/>
    </row>
    <row r="20" spans="1:22" customFormat="1" ht="15" customHeight="1" x14ac:dyDescent="0.35">
      <c r="A20" s="4" t="s">
        <v>530</v>
      </c>
      <c r="B20" s="44" t="s">
        <v>268</v>
      </c>
      <c r="C20" s="44" t="s">
        <v>268</v>
      </c>
      <c r="D20" s="44" t="s">
        <v>268</v>
      </c>
      <c r="E20" s="44" t="s">
        <v>268</v>
      </c>
      <c r="F20" s="44" t="s">
        <v>268</v>
      </c>
      <c r="G20" s="44" t="s">
        <v>268</v>
      </c>
      <c r="H20" s="44" t="s">
        <v>268</v>
      </c>
      <c r="I20" s="44" t="s">
        <v>268</v>
      </c>
      <c r="J20" s="44" t="s">
        <v>268</v>
      </c>
      <c r="K20" s="44" t="s">
        <v>268</v>
      </c>
      <c r="L20" s="44" t="s">
        <v>268</v>
      </c>
      <c r="M20" s="44" t="s">
        <v>268</v>
      </c>
      <c r="N20" s="44" t="s">
        <v>268</v>
      </c>
      <c r="O20" s="44"/>
      <c r="P20" s="44" t="s">
        <v>268</v>
      </c>
      <c r="Q20" s="44" t="s">
        <v>268</v>
      </c>
      <c r="R20" s="44" t="s">
        <v>268</v>
      </c>
      <c r="S20" s="44" t="s">
        <v>268</v>
      </c>
      <c r="T20" s="44" t="s">
        <v>268</v>
      </c>
      <c r="U20" s="44" t="s">
        <v>268</v>
      </c>
      <c r="V20" s="44"/>
    </row>
    <row r="21" spans="1:22" customFormat="1" ht="15" customHeight="1" x14ac:dyDescent="0.35">
      <c r="A21" s="4" t="s">
        <v>534</v>
      </c>
      <c r="B21" s="44" t="s">
        <v>539</v>
      </c>
      <c r="C21" s="44" t="s">
        <v>540</v>
      </c>
      <c r="D21" s="44">
        <v>10</v>
      </c>
      <c r="E21" s="44" t="s">
        <v>268</v>
      </c>
      <c r="F21" s="44" t="s">
        <v>268</v>
      </c>
      <c r="G21" s="44" t="s">
        <v>541</v>
      </c>
      <c r="H21" s="44" t="s">
        <v>268</v>
      </c>
      <c r="I21" s="44" t="s">
        <v>268</v>
      </c>
      <c r="J21" s="44" t="s">
        <v>268</v>
      </c>
      <c r="K21" s="44" t="s">
        <v>281</v>
      </c>
      <c r="L21" s="44" t="s">
        <v>272</v>
      </c>
      <c r="M21" s="44" t="s">
        <v>313</v>
      </c>
      <c r="N21" s="44" t="s">
        <v>310</v>
      </c>
      <c r="O21" s="44"/>
      <c r="P21" s="44" t="s">
        <v>542</v>
      </c>
      <c r="Q21" s="44" t="s">
        <v>268</v>
      </c>
      <c r="R21" s="44" t="s">
        <v>269</v>
      </c>
      <c r="S21" s="44"/>
      <c r="T21" s="44"/>
      <c r="U21" s="44"/>
      <c r="V21" s="44"/>
    </row>
    <row r="22" spans="1:22" customFormat="1" ht="15" customHeight="1" x14ac:dyDescent="0.35">
      <c r="A22" s="4" t="s">
        <v>543</v>
      </c>
      <c r="B22" s="44" t="s">
        <v>267</v>
      </c>
      <c r="C22" s="44" t="s">
        <v>283</v>
      </c>
      <c r="D22" s="51">
        <v>10</v>
      </c>
      <c r="E22" s="44" t="s">
        <v>268</v>
      </c>
      <c r="F22" s="44" t="s">
        <v>274</v>
      </c>
      <c r="G22" s="44" t="s">
        <v>302</v>
      </c>
      <c r="H22" s="44" t="s">
        <v>303</v>
      </c>
      <c r="I22" s="44" t="s">
        <v>299</v>
      </c>
      <c r="J22" s="44" t="s">
        <v>280</v>
      </c>
      <c r="K22" s="44" t="s">
        <v>281</v>
      </c>
      <c r="L22" s="44" t="s">
        <v>272</v>
      </c>
      <c r="M22" s="44" t="s">
        <v>313</v>
      </c>
      <c r="N22" s="44" t="s">
        <v>310</v>
      </c>
      <c r="O22" s="44"/>
      <c r="P22" s="44" t="s">
        <v>417</v>
      </c>
      <c r="Q22" s="44" t="s">
        <v>269</v>
      </c>
      <c r="R22" s="44" t="s">
        <v>262</v>
      </c>
      <c r="S22" s="44" t="s">
        <v>293</v>
      </c>
      <c r="T22" s="44" t="s">
        <v>314</v>
      </c>
      <c r="U22" s="44" t="s">
        <v>315</v>
      </c>
      <c r="V22" s="44"/>
    </row>
    <row r="23" spans="1:22" ht="15" customHeight="1" x14ac:dyDescent="0.35">
      <c r="A23" s="44" t="s">
        <v>549</v>
      </c>
      <c r="B23" s="44" t="s">
        <v>267</v>
      </c>
      <c r="C23" s="44" t="s">
        <v>283</v>
      </c>
      <c r="D23" s="44">
        <v>480</v>
      </c>
      <c r="E23" s="44" t="s">
        <v>358</v>
      </c>
      <c r="F23" s="44" t="s">
        <v>558</v>
      </c>
      <c r="G23" s="44" t="s">
        <v>559</v>
      </c>
      <c r="H23" s="44" t="s">
        <v>559</v>
      </c>
      <c r="I23" s="44" t="s">
        <v>559</v>
      </c>
      <c r="J23" s="44" t="s">
        <v>560</v>
      </c>
      <c r="K23" s="44" t="s">
        <v>559</v>
      </c>
      <c r="L23" s="44" t="s">
        <v>560</v>
      </c>
      <c r="M23" s="44" t="s">
        <v>560</v>
      </c>
      <c r="N23" s="44" t="s">
        <v>560</v>
      </c>
      <c r="O23" s="44"/>
      <c r="P23" s="44"/>
      <c r="Q23" s="44" t="s">
        <v>269</v>
      </c>
      <c r="R23" s="44" t="s">
        <v>262</v>
      </c>
      <c r="S23" s="44" t="s">
        <v>293</v>
      </c>
      <c r="T23" s="44" t="s">
        <v>561</v>
      </c>
      <c r="U23" s="44" t="s">
        <v>265</v>
      </c>
      <c r="V23" s="44"/>
    </row>
    <row r="24" spans="1:22" ht="15" customHeight="1" x14ac:dyDescent="0.35">
      <c r="A24" s="44" t="s">
        <v>562</v>
      </c>
      <c r="B24" s="44"/>
      <c r="C24" s="44"/>
      <c r="D24" s="44"/>
      <c r="E24" s="44"/>
      <c r="F24" s="44"/>
      <c r="G24" s="44"/>
      <c r="H24" s="44"/>
      <c r="I24" s="44"/>
      <c r="J24" s="44"/>
      <c r="K24" s="44"/>
      <c r="L24" s="44"/>
      <c r="M24" s="44"/>
      <c r="N24" s="44"/>
      <c r="O24" s="44"/>
      <c r="P24" s="44"/>
      <c r="Q24" s="44"/>
      <c r="R24" s="44"/>
      <c r="S24" s="44"/>
      <c r="T24" s="44"/>
      <c r="U24" s="44"/>
      <c r="V24" s="44"/>
    </row>
    <row r="25" spans="1:22" ht="15" customHeight="1" x14ac:dyDescent="0.35">
      <c r="A25" s="44" t="s">
        <v>572</v>
      </c>
      <c r="B25" s="44" t="s">
        <v>291</v>
      </c>
      <c r="C25" s="44"/>
      <c r="D25" s="44"/>
      <c r="E25" s="44"/>
      <c r="F25" s="44"/>
      <c r="G25" s="44" t="s">
        <v>302</v>
      </c>
      <c r="H25" s="44"/>
      <c r="I25" s="44"/>
      <c r="J25" s="44"/>
      <c r="K25" s="44" t="s">
        <v>281</v>
      </c>
      <c r="L25" s="44"/>
      <c r="M25" s="44" t="s">
        <v>579</v>
      </c>
      <c r="N25" s="44"/>
      <c r="O25" s="44"/>
      <c r="P25" s="44" t="s">
        <v>580</v>
      </c>
      <c r="Q25" s="44" t="s">
        <v>269</v>
      </c>
      <c r="R25" s="44" t="s">
        <v>269</v>
      </c>
      <c r="S25" s="44"/>
      <c r="T25" s="44"/>
      <c r="U25" s="44"/>
      <c r="V25" s="44"/>
    </row>
    <row r="26" spans="1:22" ht="15" customHeight="1" x14ac:dyDescent="0.35">
      <c r="A26" s="44" t="s">
        <v>583</v>
      </c>
      <c r="B26" s="44" t="s">
        <v>298</v>
      </c>
      <c r="C26" s="44" t="s">
        <v>591</v>
      </c>
      <c r="D26" s="44">
        <v>2</v>
      </c>
      <c r="E26" s="44" t="s">
        <v>268</v>
      </c>
      <c r="F26" s="44" t="s">
        <v>592</v>
      </c>
      <c r="G26" s="44" t="s">
        <v>593</v>
      </c>
      <c r="H26" s="44"/>
      <c r="I26" s="44" t="s">
        <v>299</v>
      </c>
      <c r="J26" s="44"/>
      <c r="K26" s="44"/>
      <c r="L26" s="44" t="s">
        <v>268</v>
      </c>
      <c r="M26" s="44" t="s">
        <v>594</v>
      </c>
      <c r="N26" s="44"/>
      <c r="O26" s="44"/>
      <c r="P26" s="44" t="s">
        <v>595</v>
      </c>
      <c r="Q26" s="44" t="s">
        <v>269</v>
      </c>
      <c r="R26" s="44" t="s">
        <v>269</v>
      </c>
      <c r="S26" s="44" t="s">
        <v>268</v>
      </c>
      <c r="T26" s="44" t="s">
        <v>268</v>
      </c>
      <c r="U26" s="44" t="s">
        <v>268</v>
      </c>
      <c r="V26" s="44"/>
    </row>
    <row r="27" spans="1:22" ht="15" customHeight="1" x14ac:dyDescent="0.35">
      <c r="A27" s="44" t="s">
        <v>596</v>
      </c>
      <c r="B27" s="44" t="s">
        <v>273</v>
      </c>
      <c r="C27" s="44" t="s">
        <v>349</v>
      </c>
      <c r="D27" s="44">
        <v>2</v>
      </c>
      <c r="E27" s="44" t="s">
        <v>268</v>
      </c>
      <c r="F27" s="44" t="s">
        <v>268</v>
      </c>
      <c r="G27" s="44" t="s">
        <v>268</v>
      </c>
      <c r="H27" s="44" t="s">
        <v>268</v>
      </c>
      <c r="I27" s="44" t="s">
        <v>268</v>
      </c>
      <c r="J27" s="44" t="s">
        <v>268</v>
      </c>
      <c r="K27" s="44" t="s">
        <v>281</v>
      </c>
      <c r="L27" s="44" t="s">
        <v>268</v>
      </c>
      <c r="M27" s="44" t="s">
        <v>268</v>
      </c>
      <c r="N27" s="44" t="s">
        <v>268</v>
      </c>
      <c r="O27" s="44"/>
      <c r="P27" s="44" t="s">
        <v>580</v>
      </c>
      <c r="Q27" s="44" t="s">
        <v>269</v>
      </c>
      <c r="R27" s="44" t="s">
        <v>269</v>
      </c>
      <c r="S27" s="44" t="s">
        <v>268</v>
      </c>
      <c r="T27" s="44" t="s">
        <v>268</v>
      </c>
      <c r="U27" s="44" t="s">
        <v>268</v>
      </c>
      <c r="V27" s="44"/>
    </row>
    <row r="28" spans="1:22" ht="15" customHeight="1" x14ac:dyDescent="0.35">
      <c r="A28" s="44" t="s">
        <v>603</v>
      </c>
      <c r="B28" s="44" t="s">
        <v>611</v>
      </c>
      <c r="C28" s="44" t="s">
        <v>612</v>
      </c>
      <c r="D28" s="44">
        <v>5</v>
      </c>
      <c r="E28" s="44" t="s">
        <v>268</v>
      </c>
      <c r="F28" s="44" t="s">
        <v>268</v>
      </c>
      <c r="G28" s="44" t="s">
        <v>613</v>
      </c>
      <c r="H28" s="44" t="s">
        <v>329</v>
      </c>
      <c r="I28" s="44" t="s">
        <v>329</v>
      </c>
      <c r="J28" s="44" t="s">
        <v>268</v>
      </c>
      <c r="K28" s="44" t="s">
        <v>268</v>
      </c>
      <c r="L28" s="44" t="s">
        <v>268</v>
      </c>
      <c r="M28" s="44" t="s">
        <v>268</v>
      </c>
      <c r="N28" s="44" t="s">
        <v>268</v>
      </c>
      <c r="O28" s="44"/>
      <c r="P28" s="44" t="s">
        <v>580</v>
      </c>
      <c r="Q28" s="44" t="s">
        <v>269</v>
      </c>
      <c r="R28" s="44" t="s">
        <v>269</v>
      </c>
      <c r="S28" s="44" t="s">
        <v>268</v>
      </c>
      <c r="T28" s="44" t="s">
        <v>268</v>
      </c>
      <c r="U28" s="44" t="s">
        <v>268</v>
      </c>
      <c r="V28" s="44"/>
    </row>
    <row r="29" spans="1:22" ht="15" customHeight="1" x14ac:dyDescent="0.35">
      <c r="A29" s="44" t="s">
        <v>614</v>
      </c>
      <c r="B29" s="44" t="s">
        <v>621</v>
      </c>
      <c r="C29" s="44" t="s">
        <v>320</v>
      </c>
      <c r="D29" s="44"/>
      <c r="E29" s="44" t="s">
        <v>268</v>
      </c>
      <c r="F29" s="44" t="s">
        <v>338</v>
      </c>
      <c r="G29" s="44" t="s">
        <v>622</v>
      </c>
      <c r="H29" s="44"/>
      <c r="I29" s="44"/>
      <c r="J29" s="44" t="s">
        <v>623</v>
      </c>
      <c r="K29" s="44"/>
      <c r="L29" s="44"/>
      <c r="M29" s="44"/>
      <c r="N29" s="44"/>
      <c r="O29" s="44"/>
      <c r="P29" s="44" t="s">
        <v>624</v>
      </c>
      <c r="Q29" s="44" t="s">
        <v>269</v>
      </c>
      <c r="R29" s="44" t="s">
        <v>269</v>
      </c>
      <c r="S29" s="44"/>
      <c r="T29" s="44"/>
      <c r="U29" s="44"/>
      <c r="V29" s="44"/>
    </row>
    <row r="30" spans="1:22" ht="15" customHeight="1" x14ac:dyDescent="0.35">
      <c r="A30" s="44" t="s">
        <v>625</v>
      </c>
      <c r="B30" s="44" t="s">
        <v>267</v>
      </c>
      <c r="C30" s="44" t="s">
        <v>357</v>
      </c>
      <c r="D30" s="44">
        <v>10</v>
      </c>
      <c r="E30" s="44" t="s">
        <v>268</v>
      </c>
      <c r="F30" s="44" t="s">
        <v>274</v>
      </c>
      <c r="G30" s="44" t="s">
        <v>354</v>
      </c>
      <c r="H30" s="44"/>
      <c r="I30" s="44" t="s">
        <v>299</v>
      </c>
      <c r="J30" s="44"/>
      <c r="K30" s="44" t="s">
        <v>281</v>
      </c>
      <c r="L30" s="44" t="s">
        <v>272</v>
      </c>
      <c r="M30" s="44" t="s">
        <v>313</v>
      </c>
      <c r="N30" s="44" t="s">
        <v>310</v>
      </c>
      <c r="O30" s="44"/>
      <c r="P30" s="44" t="s">
        <v>632</v>
      </c>
      <c r="Q30" s="44" t="s">
        <v>269</v>
      </c>
      <c r="R30" s="44" t="s">
        <v>269</v>
      </c>
      <c r="S30" s="44"/>
      <c r="T30" s="44"/>
      <c r="U30" s="44"/>
      <c r="V30" s="44"/>
    </row>
    <row r="31" spans="1:22" ht="15" customHeight="1" x14ac:dyDescent="0.35">
      <c r="A31" s="44" t="s">
        <v>633</v>
      </c>
      <c r="B31" s="44" t="s">
        <v>298</v>
      </c>
      <c r="C31" s="44"/>
      <c r="D31" s="44"/>
      <c r="E31" s="44" t="s">
        <v>268</v>
      </c>
      <c r="F31" s="44" t="s">
        <v>640</v>
      </c>
      <c r="G31" s="44" t="s">
        <v>641</v>
      </c>
      <c r="H31" s="44"/>
      <c r="I31" s="44"/>
      <c r="J31" s="44"/>
      <c r="K31" s="44"/>
      <c r="L31" s="44"/>
      <c r="M31" s="44"/>
      <c r="N31" s="44"/>
      <c r="O31" s="44"/>
      <c r="P31" s="44"/>
      <c r="Q31" s="44" t="s">
        <v>269</v>
      </c>
      <c r="R31" s="44" t="s">
        <v>269</v>
      </c>
      <c r="S31" s="44"/>
      <c r="T31" s="44"/>
      <c r="U31" s="44"/>
      <c r="V31" s="44"/>
    </row>
    <row r="32" spans="1:22" ht="15" customHeight="1" x14ac:dyDescent="0.35">
      <c r="A32" s="44" t="s">
        <v>642</v>
      </c>
      <c r="B32" s="44" t="s">
        <v>331</v>
      </c>
      <c r="C32" s="44" t="s">
        <v>650</v>
      </c>
      <c r="D32" s="44"/>
      <c r="E32" s="44" t="s">
        <v>268</v>
      </c>
      <c r="F32" s="44"/>
      <c r="G32" s="44" t="s">
        <v>651</v>
      </c>
      <c r="H32" s="44" t="s">
        <v>340</v>
      </c>
      <c r="I32" s="44" t="s">
        <v>340</v>
      </c>
      <c r="J32" s="44"/>
      <c r="K32" s="44"/>
      <c r="L32" s="44"/>
      <c r="M32" s="44"/>
      <c r="N32" s="44"/>
      <c r="O32" s="44"/>
      <c r="P32" s="44"/>
      <c r="Q32" s="44" t="s">
        <v>269</v>
      </c>
      <c r="R32" s="44" t="s">
        <v>269</v>
      </c>
      <c r="S32" s="44"/>
      <c r="T32" s="44"/>
      <c r="U32" s="44"/>
      <c r="V32" s="44"/>
    </row>
    <row r="33" spans="1:22" ht="15" customHeight="1" x14ac:dyDescent="0.35">
      <c r="A33" s="44" t="s">
        <v>652</v>
      </c>
      <c r="B33" s="44" t="s">
        <v>267</v>
      </c>
      <c r="C33" s="44" t="s">
        <v>357</v>
      </c>
      <c r="D33" s="44">
        <v>16</v>
      </c>
      <c r="E33" s="44" t="s">
        <v>268</v>
      </c>
      <c r="F33" s="44"/>
      <c r="G33" s="44" t="s">
        <v>655</v>
      </c>
      <c r="H33" s="44" t="s">
        <v>656</v>
      </c>
      <c r="I33" s="44" t="s">
        <v>340</v>
      </c>
      <c r="J33" s="44"/>
      <c r="K33" s="44"/>
      <c r="L33" s="44" t="s">
        <v>657</v>
      </c>
      <c r="M33" s="44" t="s">
        <v>658</v>
      </c>
      <c r="N33" s="44"/>
      <c r="O33" s="44"/>
      <c r="P33" s="44"/>
      <c r="Q33" s="44" t="s">
        <v>269</v>
      </c>
      <c r="R33" s="44" t="s">
        <v>269</v>
      </c>
      <c r="S33" s="44"/>
      <c r="T33" s="44"/>
      <c r="U33" s="44"/>
      <c r="V33" s="44"/>
    </row>
    <row r="34" spans="1:22" ht="15" customHeight="1" x14ac:dyDescent="0.35">
      <c r="A34" s="44" t="s">
        <v>659</v>
      </c>
      <c r="B34" s="44" t="s">
        <v>665</v>
      </c>
      <c r="C34" s="44" t="s">
        <v>666</v>
      </c>
      <c r="D34" s="44">
        <v>16</v>
      </c>
      <c r="E34" s="44" t="s">
        <v>268</v>
      </c>
      <c r="F34" s="44" t="s">
        <v>667</v>
      </c>
      <c r="G34" s="44" t="s">
        <v>668</v>
      </c>
      <c r="H34" s="44" t="s">
        <v>263</v>
      </c>
      <c r="I34" s="44" t="s">
        <v>669</v>
      </c>
      <c r="J34" s="44"/>
      <c r="K34" s="44"/>
      <c r="L34" s="44"/>
      <c r="M34" s="44"/>
      <c r="N34" s="52"/>
      <c r="O34" s="44"/>
      <c r="P34" s="44"/>
      <c r="Q34" s="44" t="s">
        <v>269</v>
      </c>
      <c r="R34" s="44" t="s">
        <v>262</v>
      </c>
      <c r="S34" s="44" t="s">
        <v>666</v>
      </c>
      <c r="T34" s="44" t="s">
        <v>670</v>
      </c>
      <c r="U34" s="44" t="s">
        <v>671</v>
      </c>
      <c r="V34" s="44"/>
    </row>
    <row r="35" spans="1:22" ht="15" customHeight="1" x14ac:dyDescent="0.35">
      <c r="A35" s="44" t="s">
        <v>673</v>
      </c>
      <c r="B35" s="44" t="s">
        <v>359</v>
      </c>
      <c r="C35" s="44" t="s">
        <v>681</v>
      </c>
      <c r="D35" s="44">
        <v>2</v>
      </c>
      <c r="E35" s="44" t="s">
        <v>268</v>
      </c>
      <c r="F35" s="44" t="s">
        <v>353</v>
      </c>
      <c r="G35" s="44"/>
      <c r="H35" s="44"/>
      <c r="I35" s="44"/>
      <c r="J35" s="44"/>
      <c r="K35" s="44"/>
      <c r="L35" s="44"/>
      <c r="M35" s="44" t="s">
        <v>313</v>
      </c>
      <c r="N35" s="44"/>
      <c r="O35" s="44"/>
      <c r="P35" s="44"/>
      <c r="Q35" s="44" t="s">
        <v>251</v>
      </c>
      <c r="R35" s="44" t="s">
        <v>269</v>
      </c>
      <c r="S35" s="44"/>
      <c r="T35" s="44"/>
      <c r="U35" s="44"/>
      <c r="V35" s="44"/>
    </row>
    <row r="36" spans="1:22" ht="15" customHeight="1" x14ac:dyDescent="0.35">
      <c r="A36" s="44" t="s">
        <v>682</v>
      </c>
      <c r="B36" s="44" t="s">
        <v>687</v>
      </c>
      <c r="C36" s="44" t="s">
        <v>688</v>
      </c>
      <c r="D36" s="44">
        <v>8</v>
      </c>
      <c r="E36" s="44"/>
      <c r="F36" s="44"/>
      <c r="G36" s="44" t="s">
        <v>689</v>
      </c>
      <c r="H36" s="44"/>
      <c r="I36" s="44" t="s">
        <v>327</v>
      </c>
      <c r="J36" s="44"/>
      <c r="K36" s="44"/>
      <c r="L36" s="44"/>
      <c r="M36" s="44"/>
      <c r="N36" s="52"/>
      <c r="O36" s="44"/>
      <c r="P36" s="44"/>
      <c r="Q36" s="44"/>
      <c r="R36" s="44"/>
      <c r="S36" s="44"/>
      <c r="T36" s="44"/>
      <c r="U36" s="44"/>
      <c r="V36" s="44"/>
    </row>
    <row r="37" spans="1:22" ht="15" customHeight="1" x14ac:dyDescent="0.35">
      <c r="A37" s="44" t="s">
        <v>690</v>
      </c>
      <c r="B37" s="44"/>
      <c r="C37" s="44"/>
      <c r="D37" s="44"/>
      <c r="E37" s="44"/>
      <c r="F37" s="44"/>
      <c r="G37" s="44"/>
      <c r="H37" s="44"/>
      <c r="I37" s="44"/>
      <c r="J37" s="44"/>
      <c r="K37" s="44"/>
      <c r="L37" s="52"/>
      <c r="M37" s="44"/>
      <c r="N37" s="52"/>
      <c r="O37" s="44"/>
      <c r="P37" s="44" t="s">
        <v>695</v>
      </c>
      <c r="Q37" s="44" t="s">
        <v>269</v>
      </c>
      <c r="R37" s="44" t="s">
        <v>269</v>
      </c>
      <c r="S37" s="44"/>
      <c r="T37" s="44"/>
      <c r="U37" s="44"/>
      <c r="V37" s="44"/>
    </row>
    <row r="38" spans="1:22" ht="15" customHeight="1" x14ac:dyDescent="0.35">
      <c r="A38" s="44"/>
      <c r="B38" s="44"/>
      <c r="C38" s="44"/>
      <c r="D38" s="44"/>
      <c r="E38" s="44"/>
      <c r="F38" s="44"/>
      <c r="G38" s="44"/>
      <c r="H38" s="44"/>
      <c r="I38" s="44"/>
      <c r="J38" s="44"/>
      <c r="K38" s="44"/>
      <c r="L38" s="44"/>
      <c r="M38" s="44"/>
      <c r="N38" s="44"/>
      <c r="O38" s="44"/>
      <c r="P38" s="44"/>
      <c r="Q38" s="44"/>
      <c r="R38" s="44"/>
      <c r="S38" s="44"/>
      <c r="T38" s="44"/>
      <c r="U38" s="44"/>
      <c r="V38" s="44"/>
    </row>
    <row r="39" spans="1:22" ht="15" customHeight="1" x14ac:dyDescent="0.35">
      <c r="A39" s="44"/>
      <c r="B39" s="44"/>
      <c r="C39" s="44"/>
      <c r="D39" s="44"/>
      <c r="E39" s="44"/>
      <c r="F39" s="44"/>
      <c r="G39" s="44"/>
      <c r="H39" s="44"/>
      <c r="I39" s="44"/>
      <c r="J39" s="44"/>
      <c r="K39" s="44"/>
      <c r="L39" s="52"/>
      <c r="M39" s="44"/>
      <c r="N39" s="52"/>
      <c r="O39" s="44"/>
      <c r="P39" s="44"/>
      <c r="Q39" s="44"/>
      <c r="R39" s="44"/>
      <c r="S39" s="44"/>
      <c r="T39" s="44"/>
      <c r="U39" s="44"/>
      <c r="V39" s="44"/>
    </row>
    <row r="40" spans="1:22" ht="15" customHeight="1" x14ac:dyDescent="0.35">
      <c r="A40" s="44"/>
      <c r="B40" s="44"/>
      <c r="C40" s="44"/>
      <c r="D40" s="44"/>
      <c r="E40" s="44"/>
      <c r="F40" s="44"/>
      <c r="G40" s="44"/>
      <c r="H40" s="44"/>
      <c r="I40" s="44"/>
      <c r="J40" s="44"/>
      <c r="K40" s="44"/>
      <c r="L40" s="44"/>
      <c r="M40" s="44"/>
      <c r="N40" s="44"/>
      <c r="O40" s="44"/>
      <c r="P40" s="44"/>
      <c r="Q40" s="44"/>
      <c r="R40" s="44"/>
      <c r="S40" s="44"/>
      <c r="T40" s="44"/>
      <c r="U40" s="44"/>
      <c r="V40" s="44"/>
    </row>
    <row r="41" spans="1:22" ht="15" customHeight="1" x14ac:dyDescent="0.35">
      <c r="A41" s="44"/>
      <c r="B41" s="44"/>
      <c r="C41" s="44"/>
      <c r="D41" s="44"/>
      <c r="E41" s="44"/>
      <c r="F41" s="44"/>
      <c r="G41" s="44"/>
      <c r="H41" s="44"/>
      <c r="I41" s="44"/>
      <c r="J41" s="44"/>
      <c r="K41" s="44"/>
      <c r="L41" s="44"/>
      <c r="M41" s="44"/>
      <c r="N41" s="44"/>
      <c r="O41" s="44"/>
      <c r="P41" s="44"/>
      <c r="Q41" s="44"/>
      <c r="R41" s="44"/>
      <c r="S41" s="44"/>
      <c r="T41" s="44"/>
      <c r="U41" s="44"/>
      <c r="V41" s="44"/>
    </row>
    <row r="42" spans="1:22" ht="15" customHeight="1" x14ac:dyDescent="0.35">
      <c r="A42" s="44"/>
      <c r="B42" s="44"/>
      <c r="C42" s="44"/>
      <c r="D42" s="44"/>
      <c r="E42" s="44"/>
      <c r="F42" s="44"/>
      <c r="G42" s="44"/>
      <c r="H42" s="44"/>
      <c r="I42" s="44"/>
      <c r="J42" s="44"/>
      <c r="K42" s="44"/>
      <c r="L42" s="44"/>
      <c r="M42" s="44"/>
      <c r="N42" s="44"/>
      <c r="O42" s="44"/>
      <c r="P42" s="44"/>
      <c r="Q42" s="44"/>
      <c r="R42" s="44"/>
      <c r="S42" s="44"/>
      <c r="T42" s="44"/>
      <c r="U42" s="44"/>
      <c r="V42" s="44"/>
    </row>
    <row r="43" spans="1:22" ht="15" customHeight="1" x14ac:dyDescent="0.35">
      <c r="A43" s="44"/>
      <c r="B43" s="44"/>
      <c r="C43" s="44"/>
      <c r="D43" s="44"/>
      <c r="E43" s="44"/>
      <c r="F43" s="44"/>
      <c r="G43" s="44"/>
      <c r="H43" s="44"/>
      <c r="I43" s="44"/>
      <c r="J43" s="44"/>
      <c r="K43" s="44"/>
      <c r="L43" s="44"/>
      <c r="M43" s="44"/>
      <c r="N43" s="44"/>
      <c r="O43" s="44"/>
      <c r="P43" s="44"/>
      <c r="Q43" s="44"/>
      <c r="R43" s="44"/>
      <c r="S43" s="44"/>
      <c r="T43" s="44"/>
      <c r="U43" s="44"/>
      <c r="V43" s="44"/>
    </row>
    <row r="44" spans="1:22" ht="15" customHeight="1" x14ac:dyDescent="0.35">
      <c r="A44" s="44"/>
      <c r="B44" s="44"/>
      <c r="C44" s="44"/>
      <c r="D44" s="44"/>
      <c r="E44" s="44"/>
      <c r="F44" s="44"/>
      <c r="G44" s="44"/>
      <c r="H44" s="44"/>
      <c r="I44" s="44"/>
      <c r="J44" s="44"/>
      <c r="K44" s="44"/>
      <c r="L44" s="44"/>
      <c r="M44" s="44"/>
      <c r="N44" s="44"/>
      <c r="O44" s="44"/>
      <c r="P44" s="44"/>
      <c r="Q44" s="44"/>
      <c r="R44" s="44"/>
      <c r="S44" s="44"/>
      <c r="T44" s="44"/>
      <c r="U44" s="44"/>
      <c r="V44" s="44"/>
    </row>
    <row r="45" spans="1:22" ht="15" customHeight="1" x14ac:dyDescent="0.35">
      <c r="A45" s="44"/>
      <c r="B45" s="44"/>
      <c r="C45" s="44"/>
      <c r="D45" s="44"/>
      <c r="E45" s="44"/>
      <c r="F45" s="44"/>
      <c r="G45" s="44"/>
      <c r="H45" s="44"/>
      <c r="I45" s="44"/>
      <c r="J45" s="44"/>
      <c r="K45" s="44"/>
      <c r="L45" s="44"/>
      <c r="M45" s="44"/>
      <c r="N45" s="44"/>
      <c r="O45" s="44"/>
      <c r="P45" s="44"/>
      <c r="Q45" s="44"/>
      <c r="R45" s="44"/>
      <c r="S45" s="44"/>
      <c r="T45" s="44"/>
      <c r="U45" s="44"/>
      <c r="V45" s="44"/>
    </row>
    <row r="46" spans="1:22" ht="15" customHeight="1" x14ac:dyDescent="0.35">
      <c r="A46" s="44"/>
      <c r="B46" s="44"/>
      <c r="C46" s="44"/>
      <c r="D46" s="44"/>
      <c r="E46" s="44"/>
      <c r="F46" s="44"/>
      <c r="G46" s="44"/>
      <c r="H46" s="44"/>
      <c r="I46" s="44"/>
      <c r="J46" s="44"/>
      <c r="K46" s="44"/>
      <c r="L46" s="44"/>
      <c r="M46" s="44"/>
      <c r="N46" s="52"/>
      <c r="O46" s="44"/>
      <c r="P46" s="44"/>
      <c r="Q46" s="44"/>
      <c r="R46" s="44"/>
      <c r="S46" s="44"/>
      <c r="T46" s="44"/>
      <c r="U46" s="44"/>
      <c r="V46" s="44"/>
    </row>
    <row r="47" spans="1:22" ht="15" customHeight="1" x14ac:dyDescent="0.35">
      <c r="A47" s="44"/>
      <c r="B47" s="44"/>
      <c r="C47" s="44"/>
      <c r="D47" s="44"/>
      <c r="E47" s="44"/>
      <c r="F47" s="44"/>
      <c r="G47" s="44"/>
      <c r="H47" s="44"/>
      <c r="I47" s="44"/>
      <c r="J47" s="44"/>
      <c r="K47" s="44"/>
      <c r="L47" s="44"/>
      <c r="M47" s="44"/>
      <c r="N47" s="44"/>
      <c r="O47" s="44"/>
      <c r="P47" s="44"/>
      <c r="Q47" s="44"/>
      <c r="R47" s="44"/>
      <c r="S47" s="44"/>
      <c r="T47" s="44"/>
      <c r="U47" s="44"/>
      <c r="V47" s="44"/>
    </row>
    <row r="48" spans="1:22" ht="15" customHeight="1" x14ac:dyDescent="0.35">
      <c r="A48" s="44"/>
      <c r="B48" s="44"/>
      <c r="C48" s="44"/>
      <c r="D48" s="44"/>
      <c r="E48" s="44"/>
      <c r="F48" s="44"/>
      <c r="G48" s="44"/>
      <c r="H48" s="44"/>
      <c r="I48" s="44"/>
      <c r="J48" s="44"/>
      <c r="K48" s="44"/>
      <c r="L48" s="44"/>
      <c r="M48" s="44"/>
      <c r="N48" s="44"/>
      <c r="O48" s="44"/>
      <c r="P48" s="44"/>
      <c r="Q48" s="44"/>
      <c r="R48" s="44"/>
      <c r="S48" s="44"/>
      <c r="T48" s="44"/>
      <c r="U48" s="44"/>
      <c r="V48" s="44"/>
    </row>
    <row r="49" spans="1:22" ht="15" customHeight="1" x14ac:dyDescent="0.35">
      <c r="A49" s="44"/>
      <c r="B49" s="44"/>
      <c r="C49" s="44"/>
      <c r="D49" s="44"/>
      <c r="E49" s="44"/>
      <c r="F49" s="44"/>
      <c r="G49" s="44"/>
      <c r="H49" s="44"/>
      <c r="I49" s="44"/>
      <c r="J49" s="44"/>
      <c r="K49" s="44"/>
      <c r="L49" s="52"/>
      <c r="M49" s="44"/>
      <c r="N49" s="52"/>
      <c r="O49" s="44"/>
      <c r="P49" s="44"/>
      <c r="Q49" s="44"/>
      <c r="R49" s="44"/>
      <c r="S49" s="44"/>
      <c r="T49" s="44"/>
      <c r="U49" s="44"/>
      <c r="V49" s="44"/>
    </row>
    <row r="50" spans="1:22" ht="15" customHeight="1" x14ac:dyDescent="0.35">
      <c r="A50" s="44"/>
      <c r="B50" s="44"/>
      <c r="C50" s="44"/>
      <c r="D50" s="44"/>
      <c r="E50" s="44"/>
      <c r="F50" s="44"/>
      <c r="G50" s="44"/>
      <c r="H50" s="44"/>
      <c r="I50" s="44"/>
      <c r="J50" s="44"/>
      <c r="K50" s="44"/>
      <c r="L50" s="52"/>
      <c r="M50" s="44"/>
      <c r="N50" s="44"/>
      <c r="O50" s="44"/>
      <c r="P50" s="44"/>
      <c r="Q50" s="44"/>
      <c r="R50" s="44"/>
      <c r="S50" s="44"/>
      <c r="T50" s="44"/>
      <c r="U50" s="44"/>
      <c r="V50" s="44"/>
    </row>
    <row r="51" spans="1:22" ht="15" customHeight="1" x14ac:dyDescent="0.35">
      <c r="A51" s="44"/>
      <c r="B51" s="44"/>
      <c r="C51" s="44"/>
      <c r="D51" s="44"/>
      <c r="E51" s="44"/>
      <c r="F51" s="44"/>
      <c r="G51" s="44"/>
      <c r="H51" s="44"/>
      <c r="I51" s="44"/>
      <c r="J51" s="44"/>
      <c r="K51" s="44"/>
      <c r="L51" s="52"/>
      <c r="M51" s="44"/>
      <c r="N51" s="52"/>
      <c r="O51" s="44"/>
      <c r="P51" s="44"/>
      <c r="Q51" s="44"/>
      <c r="R51" s="44"/>
      <c r="S51" s="44"/>
      <c r="T51" s="44"/>
      <c r="U51" s="44"/>
      <c r="V51" s="44"/>
    </row>
    <row r="52" spans="1:22" ht="15" customHeight="1" x14ac:dyDescent="0.35">
      <c r="A52" s="44"/>
      <c r="B52" s="44"/>
      <c r="C52" s="44"/>
      <c r="D52" s="44"/>
      <c r="E52" s="44"/>
      <c r="F52" s="44"/>
      <c r="G52" s="44"/>
      <c r="H52" s="44"/>
      <c r="I52" s="44"/>
      <c r="J52" s="44"/>
      <c r="K52" s="44"/>
      <c r="L52" s="44"/>
      <c r="M52" s="44"/>
      <c r="N52" s="44"/>
      <c r="O52" s="44"/>
      <c r="P52" s="44"/>
      <c r="Q52" s="44"/>
      <c r="R52" s="44"/>
      <c r="S52" s="44"/>
      <c r="T52" s="44"/>
      <c r="U52" s="44"/>
      <c r="V52" s="44"/>
    </row>
    <row r="53" spans="1:22" ht="15" customHeight="1" x14ac:dyDescent="0.35">
      <c r="A53" s="44"/>
      <c r="B53" s="44"/>
      <c r="C53" s="44"/>
      <c r="D53" s="44"/>
      <c r="E53" s="44"/>
      <c r="F53" s="44"/>
      <c r="G53" s="44"/>
      <c r="H53" s="44"/>
      <c r="I53" s="44"/>
      <c r="J53" s="44"/>
      <c r="K53" s="44"/>
      <c r="L53" s="44"/>
      <c r="M53" s="44"/>
      <c r="N53" s="44"/>
      <c r="O53" s="44"/>
      <c r="P53" s="44"/>
      <c r="Q53" s="44"/>
      <c r="R53" s="44"/>
      <c r="S53" s="44"/>
      <c r="T53" s="44"/>
      <c r="U53" s="44"/>
      <c r="V53" s="44"/>
    </row>
    <row r="54" spans="1:22" ht="15" customHeight="1" x14ac:dyDescent="0.35">
      <c r="A54" s="44"/>
      <c r="B54" s="44"/>
      <c r="C54" s="44"/>
      <c r="D54" s="44"/>
      <c r="E54" s="44"/>
      <c r="F54" s="44"/>
      <c r="G54" s="44"/>
      <c r="H54" s="44"/>
      <c r="I54" s="44"/>
      <c r="J54" s="44"/>
      <c r="K54" s="44"/>
      <c r="L54" s="44"/>
      <c r="M54" s="44"/>
      <c r="N54" s="44"/>
      <c r="O54" s="44"/>
      <c r="P54" s="44"/>
      <c r="Q54" s="44"/>
      <c r="R54" s="44"/>
      <c r="S54" s="44"/>
      <c r="T54" s="44"/>
      <c r="U54" s="44"/>
      <c r="V54" s="44"/>
    </row>
    <row r="55" spans="1:22" ht="15" customHeight="1" x14ac:dyDescent="0.35">
      <c r="A55" s="44"/>
      <c r="B55" s="44"/>
      <c r="C55" s="44"/>
      <c r="D55" s="44"/>
      <c r="E55" s="44"/>
      <c r="F55" s="44"/>
      <c r="G55" s="44"/>
      <c r="H55" s="44"/>
      <c r="I55" s="44"/>
      <c r="J55" s="44"/>
      <c r="K55" s="44"/>
      <c r="L55" s="44"/>
      <c r="M55" s="44"/>
      <c r="N55" s="52"/>
      <c r="O55" s="44"/>
      <c r="P55" s="44"/>
      <c r="Q55" s="44"/>
      <c r="R55" s="44"/>
      <c r="S55" s="44"/>
      <c r="T55" s="44"/>
      <c r="U55" s="44"/>
      <c r="V55" s="44"/>
    </row>
    <row r="56" spans="1:22" ht="15" customHeight="1" x14ac:dyDescent="0.35">
      <c r="A56" s="44"/>
      <c r="B56" s="44"/>
      <c r="C56" s="44"/>
      <c r="D56" s="44"/>
      <c r="E56" s="44"/>
      <c r="F56" s="44"/>
      <c r="G56" s="44"/>
      <c r="H56" s="44"/>
      <c r="I56" s="44"/>
      <c r="J56" s="44"/>
      <c r="K56" s="44"/>
      <c r="L56" s="44"/>
      <c r="M56" s="44"/>
      <c r="N56" s="44"/>
      <c r="O56" s="44"/>
      <c r="P56" s="44"/>
      <c r="Q56" s="44"/>
      <c r="R56" s="44"/>
      <c r="S56" s="44"/>
      <c r="T56" s="44"/>
      <c r="U56" s="44"/>
      <c r="V56" s="44"/>
    </row>
    <row r="57" spans="1:22" ht="15" customHeight="1" x14ac:dyDescent="0.35">
      <c r="A57" s="44"/>
      <c r="B57" s="44"/>
      <c r="C57" s="44"/>
      <c r="D57" s="44"/>
      <c r="E57" s="44"/>
      <c r="F57" s="44"/>
      <c r="G57" s="44"/>
      <c r="H57" s="44"/>
      <c r="I57" s="44"/>
      <c r="J57" s="44"/>
      <c r="K57" s="44"/>
      <c r="L57" s="44"/>
      <c r="M57" s="44"/>
      <c r="N57" s="44"/>
      <c r="O57" s="44"/>
      <c r="P57" s="44"/>
      <c r="Q57" s="44"/>
      <c r="R57" s="44"/>
      <c r="S57" s="44"/>
      <c r="T57" s="44"/>
      <c r="U57" s="44"/>
      <c r="V57" s="44"/>
    </row>
    <row r="58" spans="1:22" ht="15" customHeight="1" x14ac:dyDescent="0.35">
      <c r="A58" s="44"/>
      <c r="B58" s="44"/>
      <c r="C58" s="44"/>
      <c r="D58" s="44"/>
      <c r="E58" s="44"/>
      <c r="F58" s="44"/>
      <c r="G58" s="44"/>
      <c r="H58" s="44"/>
      <c r="I58" s="44"/>
      <c r="J58" s="44"/>
      <c r="K58" s="44"/>
      <c r="L58" s="44"/>
      <c r="M58" s="44"/>
      <c r="N58" s="44"/>
      <c r="O58" s="44"/>
      <c r="P58" s="44"/>
      <c r="Q58" s="44"/>
      <c r="R58" s="44"/>
      <c r="S58" s="44"/>
      <c r="T58" s="44"/>
      <c r="U58" s="44"/>
      <c r="V58" s="44"/>
    </row>
    <row r="59" spans="1:22" ht="15" customHeight="1" x14ac:dyDescent="0.35">
      <c r="A59" s="44"/>
      <c r="B59" s="44"/>
      <c r="C59" s="44"/>
      <c r="D59" s="44"/>
      <c r="E59" s="44"/>
      <c r="F59" s="44"/>
      <c r="G59" s="44"/>
      <c r="H59" s="44"/>
      <c r="I59" s="44"/>
      <c r="J59" s="44"/>
      <c r="K59" s="44"/>
      <c r="L59" s="44"/>
      <c r="M59" s="44"/>
      <c r="N59" s="44"/>
      <c r="O59" s="44"/>
      <c r="P59" s="44"/>
      <c r="Q59" s="44"/>
      <c r="R59" s="44"/>
      <c r="S59" s="44"/>
      <c r="T59" s="44"/>
      <c r="U59" s="44"/>
      <c r="V59" s="44"/>
    </row>
    <row r="60" spans="1:22" ht="15" customHeight="1" x14ac:dyDescent="0.35">
      <c r="A60" s="44"/>
      <c r="B60" s="44"/>
      <c r="C60" s="44"/>
      <c r="D60" s="44"/>
      <c r="E60" s="44"/>
      <c r="F60" s="44"/>
      <c r="G60" s="44"/>
      <c r="H60" s="44"/>
      <c r="I60" s="44"/>
      <c r="J60" s="44"/>
      <c r="K60" s="44"/>
      <c r="L60" s="44"/>
      <c r="M60" s="44"/>
      <c r="N60" s="44"/>
      <c r="O60" s="44"/>
      <c r="P60" s="44"/>
      <c r="Q60" s="44"/>
      <c r="R60" s="44"/>
      <c r="S60" s="44"/>
      <c r="T60" s="44"/>
      <c r="U60" s="44"/>
      <c r="V60" s="44"/>
    </row>
    <row r="61" spans="1:22" ht="15" customHeight="1" x14ac:dyDescent="0.35">
      <c r="A61" s="44"/>
      <c r="B61" s="44"/>
      <c r="C61" s="44"/>
      <c r="D61" s="44"/>
      <c r="E61" s="44"/>
      <c r="F61" s="44"/>
      <c r="G61" s="44"/>
      <c r="H61" s="44"/>
      <c r="I61" s="44"/>
      <c r="J61" s="44"/>
      <c r="K61" s="44"/>
      <c r="L61" s="44"/>
      <c r="M61" s="44"/>
      <c r="N61" s="44"/>
      <c r="O61" s="44"/>
      <c r="P61" s="44"/>
      <c r="Q61" s="44"/>
      <c r="R61" s="44"/>
      <c r="S61" s="44"/>
      <c r="T61" s="44"/>
      <c r="U61" s="44"/>
      <c r="V61" s="44"/>
    </row>
    <row r="62" spans="1:22" ht="15" customHeight="1" x14ac:dyDescent="0.35">
      <c r="A62" s="44"/>
      <c r="B62" s="44"/>
      <c r="C62" s="44"/>
      <c r="D62" s="44"/>
      <c r="E62" s="44"/>
      <c r="F62" s="44"/>
      <c r="G62" s="44"/>
      <c r="H62" s="44"/>
      <c r="I62" s="44"/>
      <c r="J62" s="44"/>
      <c r="K62" s="44"/>
      <c r="L62" s="44"/>
      <c r="M62" s="44"/>
      <c r="N62" s="44"/>
      <c r="O62" s="44"/>
      <c r="P62" s="44"/>
      <c r="Q62" s="44"/>
      <c r="R62" s="44"/>
      <c r="S62" s="44"/>
      <c r="T62" s="44"/>
      <c r="U62" s="44"/>
      <c r="V62" s="44"/>
    </row>
    <row r="63" spans="1:22" ht="15" customHeight="1" x14ac:dyDescent="0.35">
      <c r="A63" s="44"/>
      <c r="B63" s="44"/>
      <c r="C63" s="44"/>
      <c r="D63" s="44"/>
      <c r="E63" s="44"/>
      <c r="F63" s="44"/>
      <c r="G63" s="44"/>
      <c r="H63" s="44"/>
      <c r="I63" s="44"/>
      <c r="J63" s="44"/>
      <c r="K63" s="44"/>
      <c r="L63" s="44"/>
      <c r="M63" s="44"/>
      <c r="N63" s="44"/>
      <c r="O63" s="44"/>
      <c r="P63" s="44"/>
      <c r="Q63" s="44"/>
      <c r="R63" s="44"/>
      <c r="S63" s="44"/>
      <c r="T63" s="44"/>
      <c r="U63" s="44"/>
      <c r="V63" s="44"/>
    </row>
    <row r="64" spans="1:22" ht="15" customHeight="1" x14ac:dyDescent="0.35">
      <c r="A64" s="44"/>
      <c r="B64" s="44"/>
      <c r="C64" s="44"/>
      <c r="D64" s="44"/>
      <c r="E64" s="44"/>
      <c r="F64" s="44"/>
      <c r="G64" s="44"/>
      <c r="H64" s="44"/>
      <c r="I64" s="44"/>
      <c r="J64" s="44"/>
      <c r="K64" s="44"/>
      <c r="L64" s="44"/>
      <c r="M64" s="44"/>
      <c r="N64" s="44"/>
      <c r="O64" s="44"/>
      <c r="P64" s="44"/>
      <c r="Q64" s="44"/>
      <c r="R64" s="44"/>
      <c r="S64" s="44"/>
      <c r="T64" s="44"/>
      <c r="U64" s="44"/>
      <c r="V64" s="44"/>
    </row>
    <row r="65" spans="1:22" ht="15" customHeight="1" x14ac:dyDescent="0.35">
      <c r="A65" s="44"/>
      <c r="B65" s="44"/>
      <c r="C65" s="44"/>
      <c r="D65" s="44"/>
      <c r="E65" s="44"/>
      <c r="F65" s="44"/>
      <c r="G65" s="44"/>
      <c r="H65" s="44"/>
      <c r="I65" s="44"/>
      <c r="J65" s="44"/>
      <c r="K65" s="44"/>
      <c r="L65" s="44"/>
      <c r="M65" s="44"/>
      <c r="N65" s="44"/>
      <c r="O65" s="44"/>
      <c r="P65" s="44"/>
      <c r="Q65" s="44"/>
      <c r="R65" s="44"/>
      <c r="S65" s="44"/>
      <c r="T65" s="44"/>
      <c r="U65" s="44"/>
      <c r="V65" s="44"/>
    </row>
    <row r="66" spans="1:22" ht="15" customHeight="1" x14ac:dyDescent="0.35">
      <c r="A66" s="44"/>
      <c r="B66" s="44"/>
      <c r="C66" s="44"/>
      <c r="D66" s="44"/>
      <c r="E66" s="44"/>
      <c r="F66" s="44"/>
      <c r="G66" s="44"/>
      <c r="H66" s="44"/>
      <c r="I66" s="44"/>
      <c r="J66" s="44"/>
      <c r="K66" s="44"/>
      <c r="L66" s="44"/>
      <c r="M66" s="44"/>
      <c r="N66" s="44"/>
      <c r="O66" s="44"/>
      <c r="P66" s="44"/>
      <c r="Q66" s="44"/>
      <c r="R66" s="44"/>
      <c r="S66" s="44"/>
      <c r="T66" s="44"/>
      <c r="U66" s="44"/>
      <c r="V66" s="44"/>
    </row>
    <row r="67" spans="1:22" ht="15" customHeight="1" x14ac:dyDescent="0.35">
      <c r="A67" s="44"/>
      <c r="B67" s="44"/>
      <c r="C67" s="44"/>
      <c r="D67" s="44"/>
      <c r="E67" s="44"/>
      <c r="F67" s="44"/>
      <c r="G67" s="44"/>
      <c r="H67" s="44"/>
      <c r="I67" s="44"/>
      <c r="J67" s="44"/>
      <c r="K67" s="44"/>
      <c r="L67" s="44"/>
      <c r="M67" s="44"/>
      <c r="N67" s="44"/>
      <c r="O67" s="44"/>
      <c r="P67" s="44"/>
      <c r="Q67" s="44"/>
      <c r="R67" s="44"/>
      <c r="S67" s="44"/>
      <c r="T67" s="44"/>
      <c r="U67" s="44"/>
      <c r="V67" s="44"/>
    </row>
  </sheetData>
  <mergeCells count="3">
    <mergeCell ref="B2:O2"/>
    <mergeCell ref="P2:R2"/>
    <mergeCell ref="S2:U2"/>
  </mergeCells>
  <phoneticPr fontId="8" type="noConversion"/>
  <hyperlinks>
    <hyperlink ref="A1" location="案例清单!A1" display="返回" xr:uid="{98BC89B3-4812-479C-910E-3165C71E453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BD127-4CA2-4180-B6F1-544C3BF2820D}">
  <sheetPr codeName="Sheet4"/>
  <dimension ref="A1:H67"/>
  <sheetViews>
    <sheetView topLeftCell="A16" workbookViewId="0">
      <selection activeCell="A4" sqref="A4:A37"/>
    </sheetView>
  </sheetViews>
  <sheetFormatPr defaultRowHeight="15.15" x14ac:dyDescent="0.35"/>
  <cols>
    <col min="1" max="1" width="41.88671875" style="43" customWidth="1"/>
    <col min="2" max="2" width="15.88671875" style="43" customWidth="1"/>
    <col min="3" max="3" width="21.6640625" style="43" customWidth="1"/>
    <col min="4" max="4" width="16.6640625" style="43" customWidth="1"/>
    <col min="5" max="5" width="16.33203125" style="43" customWidth="1"/>
    <col min="6" max="6" width="28.77734375" style="43" customWidth="1"/>
    <col min="7" max="7" width="13.6640625" style="43" customWidth="1"/>
    <col min="8" max="16384" width="8.88671875" style="43"/>
  </cols>
  <sheetData>
    <row r="1" spans="1:8" x14ac:dyDescent="0.35">
      <c r="A1" s="42" t="s">
        <v>215</v>
      </c>
    </row>
    <row r="2" spans="1:8" s="1" customFormat="1" ht="28.45" customHeight="1" x14ac:dyDescent="0.25">
      <c r="A2" s="50" t="s">
        <v>233</v>
      </c>
      <c r="B2" s="75" t="s">
        <v>188</v>
      </c>
      <c r="C2" s="75"/>
      <c r="D2" s="75"/>
      <c r="E2" s="75"/>
      <c r="F2" s="78" t="s">
        <v>256</v>
      </c>
      <c r="G2" s="80" t="s">
        <v>232</v>
      </c>
      <c r="H2" s="82" t="s">
        <v>235</v>
      </c>
    </row>
    <row r="3" spans="1:8" s="8" customFormat="1" ht="29.2" customHeight="1" x14ac:dyDescent="0.25">
      <c r="A3" s="7" t="s">
        <v>236</v>
      </c>
      <c r="B3" s="17" t="s">
        <v>257</v>
      </c>
      <c r="C3" s="17" t="s">
        <v>258</v>
      </c>
      <c r="D3" s="17" t="s">
        <v>259</v>
      </c>
      <c r="E3" s="17" t="s">
        <v>260</v>
      </c>
      <c r="F3" s="79"/>
      <c r="G3" s="81"/>
      <c r="H3" s="82"/>
    </row>
    <row r="4" spans="1:8" s="5" customFormat="1" ht="15" customHeight="1" x14ac:dyDescent="0.25">
      <c r="A4" s="4" t="s">
        <v>365</v>
      </c>
      <c r="B4" s="4" t="s">
        <v>268</v>
      </c>
      <c r="C4" s="4" t="s">
        <v>268</v>
      </c>
      <c r="D4" s="4" t="s">
        <v>268</v>
      </c>
      <c r="E4" s="4" t="s">
        <v>268</v>
      </c>
      <c r="F4" s="4" t="s">
        <v>374</v>
      </c>
      <c r="G4" s="4" t="s">
        <v>375</v>
      </c>
      <c r="H4" s="4"/>
    </row>
    <row r="5" spans="1:8" s="46" customFormat="1" ht="15" customHeight="1" x14ac:dyDescent="0.35">
      <c r="A5" s="45" t="s">
        <v>376</v>
      </c>
      <c r="B5" s="45"/>
      <c r="C5" s="45"/>
      <c r="D5" s="45"/>
      <c r="E5" s="45"/>
      <c r="F5" s="45"/>
      <c r="G5" s="45"/>
      <c r="H5" s="45"/>
    </row>
    <row r="6" spans="1:8" s="5" customFormat="1" ht="15" customHeight="1" x14ac:dyDescent="0.25">
      <c r="A6" s="41" t="s">
        <v>384</v>
      </c>
      <c r="B6" s="4" t="s">
        <v>292</v>
      </c>
      <c r="C6" s="4" t="s">
        <v>269</v>
      </c>
      <c r="D6" s="4">
        <v>4</v>
      </c>
      <c r="E6" s="4" t="s">
        <v>279</v>
      </c>
      <c r="F6" s="4" t="s">
        <v>400</v>
      </c>
      <c r="G6" s="4" t="s">
        <v>329</v>
      </c>
      <c r="H6" s="4"/>
    </row>
    <row r="7" spans="1:8" ht="15" customHeight="1" x14ac:dyDescent="0.35">
      <c r="A7" s="41" t="s">
        <v>401</v>
      </c>
      <c r="B7" s="44" t="s">
        <v>292</v>
      </c>
      <c r="C7" s="44" t="s">
        <v>269</v>
      </c>
      <c r="D7" s="44">
        <v>4</v>
      </c>
      <c r="E7" s="44" t="s">
        <v>328</v>
      </c>
      <c r="F7" s="44" t="s">
        <v>264</v>
      </c>
      <c r="G7" s="44" t="s">
        <v>329</v>
      </c>
      <c r="H7" s="44"/>
    </row>
    <row r="8" spans="1:8" ht="15" customHeight="1" x14ac:dyDescent="0.35">
      <c r="A8" s="41" t="s">
        <v>409</v>
      </c>
      <c r="B8" s="44" t="s">
        <v>274</v>
      </c>
      <c r="C8" s="44" t="s">
        <v>262</v>
      </c>
      <c r="D8" s="44">
        <v>2</v>
      </c>
      <c r="E8" s="44" t="s">
        <v>279</v>
      </c>
      <c r="F8" s="44" t="s">
        <v>264</v>
      </c>
      <c r="G8" s="44" t="s">
        <v>316</v>
      </c>
      <c r="H8" s="44"/>
    </row>
    <row r="9" spans="1:8" ht="15" customHeight="1" x14ac:dyDescent="0.35">
      <c r="A9" s="4" t="s">
        <v>418</v>
      </c>
      <c r="B9" s="44" t="s">
        <v>274</v>
      </c>
      <c r="C9" s="44" t="s">
        <v>262</v>
      </c>
      <c r="D9" s="44">
        <v>2</v>
      </c>
      <c r="E9" s="44" t="s">
        <v>279</v>
      </c>
      <c r="F9" s="44" t="s">
        <v>264</v>
      </c>
      <c r="G9" s="44" t="s">
        <v>316</v>
      </c>
      <c r="H9" s="44"/>
    </row>
    <row r="10" spans="1:8" ht="15" customHeight="1" x14ac:dyDescent="0.35">
      <c r="A10" s="4" t="s">
        <v>428</v>
      </c>
      <c r="B10" s="4"/>
      <c r="C10" s="4"/>
      <c r="D10" s="4"/>
      <c r="E10" s="4"/>
      <c r="F10" s="4"/>
      <c r="G10" s="4"/>
      <c r="H10" s="4"/>
    </row>
    <row r="11" spans="1:8" s="5" customFormat="1" ht="15" customHeight="1" x14ac:dyDescent="0.25">
      <c r="A11" s="4" t="s">
        <v>433</v>
      </c>
      <c r="B11" s="4" t="s">
        <v>268</v>
      </c>
      <c r="C11" s="4" t="s">
        <v>268</v>
      </c>
      <c r="D11" s="4" t="s">
        <v>268</v>
      </c>
      <c r="E11" s="4" t="s">
        <v>268</v>
      </c>
      <c r="F11" s="4" t="s">
        <v>268</v>
      </c>
      <c r="G11" s="4" t="s">
        <v>447</v>
      </c>
      <c r="H11" s="4"/>
    </row>
    <row r="12" spans="1:8" customFormat="1" ht="15" customHeight="1" x14ac:dyDescent="0.35">
      <c r="A12" s="44" t="s">
        <v>448</v>
      </c>
      <c r="B12" s="44"/>
      <c r="C12" s="44"/>
      <c r="D12" s="44"/>
      <c r="E12" s="44"/>
      <c r="F12" s="44"/>
      <c r="G12" s="44"/>
      <c r="H12" s="44"/>
    </row>
    <row r="13" spans="1:8" s="12" customFormat="1" ht="15" customHeight="1" x14ac:dyDescent="0.35">
      <c r="A13" s="4" t="s">
        <v>464</v>
      </c>
      <c r="B13" s="45"/>
      <c r="C13" s="45"/>
      <c r="D13" s="45"/>
      <c r="E13" s="45"/>
      <c r="F13" s="45"/>
      <c r="G13" s="45"/>
      <c r="H13" s="45"/>
    </row>
    <row r="14" spans="1:8" customFormat="1" ht="15" customHeight="1" x14ac:dyDescent="0.35">
      <c r="A14" s="4" t="s">
        <v>474</v>
      </c>
      <c r="B14" s="45"/>
      <c r="C14" s="44"/>
      <c r="D14" s="44"/>
      <c r="E14" s="44"/>
      <c r="F14" s="45"/>
      <c r="G14" s="45"/>
      <c r="H14" s="44"/>
    </row>
    <row r="15" spans="1:8" customFormat="1" ht="15" customHeight="1" x14ac:dyDescent="0.35">
      <c r="A15" s="44" t="s">
        <v>486</v>
      </c>
      <c r="B15" s="44" t="s">
        <v>268</v>
      </c>
      <c r="C15" s="44" t="s">
        <v>268</v>
      </c>
      <c r="D15" s="44" t="s">
        <v>268</v>
      </c>
      <c r="E15" s="44" t="s">
        <v>268</v>
      </c>
      <c r="F15" s="44" t="s">
        <v>497</v>
      </c>
      <c r="G15" s="44" t="s">
        <v>498</v>
      </c>
      <c r="H15" s="44"/>
    </row>
    <row r="16" spans="1:8" s="5" customFormat="1" ht="15" customHeight="1" x14ac:dyDescent="0.25">
      <c r="A16" s="4" t="s">
        <v>499</v>
      </c>
      <c r="B16" s="4" t="s">
        <v>268</v>
      </c>
      <c r="C16" s="4" t="s">
        <v>268</v>
      </c>
      <c r="D16" s="4" t="s">
        <v>268</v>
      </c>
      <c r="E16" s="4" t="s">
        <v>268</v>
      </c>
      <c r="F16" s="4" t="s">
        <v>348</v>
      </c>
      <c r="G16" s="4" t="s">
        <v>268</v>
      </c>
      <c r="H16" s="4"/>
    </row>
    <row r="17" spans="1:8" customFormat="1" ht="15" customHeight="1" x14ac:dyDescent="0.35">
      <c r="A17" s="4" t="s">
        <v>503</v>
      </c>
      <c r="B17" s="44" t="s">
        <v>268</v>
      </c>
      <c r="C17" s="44" t="s">
        <v>268</v>
      </c>
      <c r="D17" s="51" t="s">
        <v>268</v>
      </c>
      <c r="E17" s="44" t="s">
        <v>268</v>
      </c>
      <c r="F17" s="44" t="s">
        <v>268</v>
      </c>
      <c r="G17" s="44" t="s">
        <v>268</v>
      </c>
      <c r="H17" s="44"/>
    </row>
    <row r="18" spans="1:8" ht="15" customHeight="1" x14ac:dyDescent="0.35">
      <c r="A18" s="44" t="s">
        <v>508</v>
      </c>
      <c r="B18" s="44" t="s">
        <v>292</v>
      </c>
      <c r="C18" s="44"/>
      <c r="D18" s="44"/>
      <c r="E18" s="44"/>
      <c r="F18" s="44" t="s">
        <v>522</v>
      </c>
      <c r="G18" s="44"/>
      <c r="H18" s="44"/>
    </row>
    <row r="19" spans="1:8" ht="15" customHeight="1" x14ac:dyDescent="0.35">
      <c r="A19" s="52" t="s">
        <v>523</v>
      </c>
      <c r="B19" s="44" t="s">
        <v>268</v>
      </c>
      <c r="C19" s="44" t="s">
        <v>268</v>
      </c>
      <c r="D19" s="44" t="s">
        <v>268</v>
      </c>
      <c r="E19" s="44" t="s">
        <v>268</v>
      </c>
      <c r="F19" s="44" t="s">
        <v>268</v>
      </c>
      <c r="G19" s="44" t="s">
        <v>268</v>
      </c>
      <c r="H19" s="44"/>
    </row>
    <row r="20" spans="1:8" ht="15" customHeight="1" x14ac:dyDescent="0.35">
      <c r="A20" s="44" t="s">
        <v>530</v>
      </c>
      <c r="B20" s="44" t="s">
        <v>268</v>
      </c>
      <c r="C20" s="44" t="s">
        <v>268</v>
      </c>
      <c r="D20" s="44" t="s">
        <v>268</v>
      </c>
      <c r="E20" s="44" t="s">
        <v>268</v>
      </c>
      <c r="F20" s="44" t="s">
        <v>268</v>
      </c>
      <c r="G20" s="44" t="s">
        <v>268</v>
      </c>
      <c r="H20" s="44"/>
    </row>
    <row r="21" spans="1:8" ht="15" customHeight="1" x14ac:dyDescent="0.35">
      <c r="A21" s="44" t="s">
        <v>534</v>
      </c>
      <c r="B21" s="44" t="s">
        <v>268</v>
      </c>
      <c r="C21" s="44"/>
      <c r="D21" s="44"/>
      <c r="E21" s="44"/>
      <c r="F21" s="44" t="s">
        <v>264</v>
      </c>
      <c r="G21" s="44"/>
      <c r="H21" s="44"/>
    </row>
    <row r="22" spans="1:8" ht="15" customHeight="1" x14ac:dyDescent="0.35">
      <c r="A22" s="44" t="s">
        <v>543</v>
      </c>
      <c r="B22" s="44" t="s">
        <v>274</v>
      </c>
      <c r="C22" s="44" t="s">
        <v>262</v>
      </c>
      <c r="D22" s="44">
        <v>2</v>
      </c>
      <c r="E22" s="44" t="s">
        <v>279</v>
      </c>
      <c r="F22" s="44" t="s">
        <v>264</v>
      </c>
      <c r="G22" s="44" t="s">
        <v>316</v>
      </c>
      <c r="H22" s="44"/>
    </row>
    <row r="23" spans="1:8" ht="15" customHeight="1" x14ac:dyDescent="0.35">
      <c r="A23" s="44" t="s">
        <v>549</v>
      </c>
      <c r="B23" s="44"/>
      <c r="C23" s="44"/>
      <c r="D23" s="44"/>
      <c r="E23" s="44"/>
      <c r="F23" s="44" t="s">
        <v>264</v>
      </c>
      <c r="G23" s="44"/>
      <c r="H23" s="44"/>
    </row>
    <row r="24" spans="1:8" ht="15" customHeight="1" x14ac:dyDescent="0.35">
      <c r="A24" s="44" t="s">
        <v>562</v>
      </c>
      <c r="B24" s="44"/>
      <c r="C24" s="44"/>
      <c r="D24" s="44"/>
      <c r="E24" s="44"/>
      <c r="F24" s="44"/>
      <c r="G24" s="44"/>
      <c r="H24" s="44"/>
    </row>
    <row r="25" spans="1:8" ht="15" customHeight="1" x14ac:dyDescent="0.35">
      <c r="A25" s="44" t="s">
        <v>572</v>
      </c>
      <c r="B25" s="44" t="s">
        <v>581</v>
      </c>
      <c r="C25" s="44" t="s">
        <v>269</v>
      </c>
      <c r="D25" s="44"/>
      <c r="E25" s="44" t="s">
        <v>298</v>
      </c>
      <c r="F25" s="44" t="s">
        <v>582</v>
      </c>
      <c r="G25" s="44"/>
      <c r="H25" s="44"/>
    </row>
    <row r="26" spans="1:8" ht="15" customHeight="1" x14ac:dyDescent="0.35">
      <c r="A26" s="44" t="s">
        <v>583</v>
      </c>
      <c r="B26" s="44" t="s">
        <v>268</v>
      </c>
      <c r="C26" s="44" t="s">
        <v>268</v>
      </c>
      <c r="D26" s="44" t="s">
        <v>268</v>
      </c>
      <c r="E26" s="44" t="s">
        <v>268</v>
      </c>
      <c r="F26" s="44" t="s">
        <v>333</v>
      </c>
      <c r="G26" s="44" t="s">
        <v>268</v>
      </c>
      <c r="H26" s="44"/>
    </row>
    <row r="27" spans="1:8" ht="15" customHeight="1" x14ac:dyDescent="0.35">
      <c r="A27" s="44" t="s">
        <v>596</v>
      </c>
      <c r="B27" s="44" t="s">
        <v>268</v>
      </c>
      <c r="C27" s="44" t="s">
        <v>269</v>
      </c>
      <c r="D27" s="44">
        <v>2</v>
      </c>
      <c r="E27" s="44" t="s">
        <v>279</v>
      </c>
      <c r="F27" s="44" t="s">
        <v>333</v>
      </c>
      <c r="G27" s="44" t="s">
        <v>268</v>
      </c>
      <c r="H27" s="44"/>
    </row>
    <row r="28" spans="1:8" ht="15" customHeight="1" x14ac:dyDescent="0.35">
      <c r="A28" s="44" t="s">
        <v>603</v>
      </c>
      <c r="B28" s="44" t="s">
        <v>268</v>
      </c>
      <c r="C28" s="44" t="s">
        <v>268</v>
      </c>
      <c r="D28" s="44" t="s">
        <v>268</v>
      </c>
      <c r="E28" s="44" t="s">
        <v>268</v>
      </c>
      <c r="F28" s="44" t="s">
        <v>282</v>
      </c>
      <c r="G28" s="44" t="s">
        <v>268</v>
      </c>
      <c r="H28" s="44"/>
    </row>
    <row r="29" spans="1:8" ht="15" customHeight="1" x14ac:dyDescent="0.35">
      <c r="A29" s="44" t="s">
        <v>614</v>
      </c>
      <c r="B29" s="44"/>
      <c r="C29" s="44"/>
      <c r="D29" s="44">
        <v>2</v>
      </c>
      <c r="E29" s="44"/>
      <c r="F29" s="44" t="s">
        <v>264</v>
      </c>
      <c r="G29" s="44"/>
      <c r="H29" s="44"/>
    </row>
    <row r="30" spans="1:8" ht="15" customHeight="1" x14ac:dyDescent="0.35">
      <c r="A30" s="44" t="s">
        <v>625</v>
      </c>
      <c r="B30" s="44" t="s">
        <v>274</v>
      </c>
      <c r="C30" s="44" t="s">
        <v>262</v>
      </c>
      <c r="D30" s="44"/>
      <c r="E30" s="44"/>
      <c r="F30" s="44" t="s">
        <v>264</v>
      </c>
      <c r="G30" s="44"/>
      <c r="H30" s="44"/>
    </row>
    <row r="31" spans="1:8" ht="15" customHeight="1" x14ac:dyDescent="0.35">
      <c r="A31" s="44" t="s">
        <v>633</v>
      </c>
      <c r="B31" s="44" t="s">
        <v>640</v>
      </c>
      <c r="C31" s="44" t="s">
        <v>262</v>
      </c>
      <c r="D31" s="44"/>
      <c r="E31" s="44" t="s">
        <v>279</v>
      </c>
      <c r="F31" s="44" t="s">
        <v>307</v>
      </c>
      <c r="G31" s="44"/>
      <c r="H31" s="44"/>
    </row>
    <row r="32" spans="1:8" ht="15" customHeight="1" x14ac:dyDescent="0.35">
      <c r="A32" s="44" t="s">
        <v>642</v>
      </c>
      <c r="B32" s="44"/>
      <c r="C32" s="44"/>
      <c r="D32" s="44"/>
      <c r="E32" s="44"/>
      <c r="F32" s="44" t="s">
        <v>362</v>
      </c>
      <c r="G32" s="44"/>
      <c r="H32" s="44"/>
    </row>
    <row r="33" spans="1:8" ht="15" customHeight="1" x14ac:dyDescent="0.35">
      <c r="A33" s="44" t="s">
        <v>652</v>
      </c>
      <c r="B33" s="44"/>
      <c r="C33" s="44"/>
      <c r="D33" s="44"/>
      <c r="E33" s="44"/>
      <c r="F33" s="44" t="s">
        <v>400</v>
      </c>
      <c r="G33" s="44"/>
      <c r="H33" s="44"/>
    </row>
    <row r="34" spans="1:8" ht="15" customHeight="1" x14ac:dyDescent="0.35">
      <c r="A34" s="44" t="s">
        <v>659</v>
      </c>
      <c r="B34" s="44" t="s">
        <v>667</v>
      </c>
      <c r="C34" s="44" t="s">
        <v>262</v>
      </c>
      <c r="D34" s="44"/>
      <c r="E34" s="44" t="s">
        <v>279</v>
      </c>
      <c r="F34" s="44"/>
      <c r="G34" s="44" t="s">
        <v>672</v>
      </c>
      <c r="H34" s="44"/>
    </row>
    <row r="35" spans="1:8" ht="15" customHeight="1" x14ac:dyDescent="0.35">
      <c r="A35" s="44" t="s">
        <v>673</v>
      </c>
      <c r="B35" s="44"/>
      <c r="C35" s="44"/>
      <c r="D35" s="44"/>
      <c r="E35" s="44"/>
      <c r="F35" s="44" t="s">
        <v>264</v>
      </c>
      <c r="G35" s="44"/>
      <c r="H35" s="44"/>
    </row>
    <row r="36" spans="1:8" ht="15" customHeight="1" x14ac:dyDescent="0.35">
      <c r="A36" s="44" t="s">
        <v>682</v>
      </c>
      <c r="B36" s="44"/>
      <c r="C36" s="44"/>
      <c r="D36" s="44"/>
      <c r="E36" s="44"/>
      <c r="F36" s="44"/>
      <c r="G36" s="44"/>
      <c r="H36" s="44"/>
    </row>
    <row r="37" spans="1:8" ht="15" customHeight="1" x14ac:dyDescent="0.35">
      <c r="A37" s="44" t="s">
        <v>690</v>
      </c>
      <c r="B37" s="44"/>
      <c r="C37" s="44"/>
      <c r="D37" s="44"/>
      <c r="E37" s="44"/>
      <c r="F37" s="44" t="s">
        <v>696</v>
      </c>
      <c r="G37" s="44"/>
      <c r="H37" s="44"/>
    </row>
    <row r="38" spans="1:8" ht="15" customHeight="1" x14ac:dyDescent="0.35">
      <c r="A38" s="44"/>
      <c r="B38" s="44"/>
      <c r="C38" s="44"/>
      <c r="D38" s="44"/>
      <c r="E38" s="44"/>
      <c r="F38" s="44"/>
      <c r="G38" s="44"/>
      <c r="H38" s="44"/>
    </row>
    <row r="39" spans="1:8" ht="15" customHeight="1" x14ac:dyDescent="0.35">
      <c r="A39" s="44"/>
      <c r="B39" s="44"/>
      <c r="C39" s="44"/>
      <c r="D39" s="44"/>
      <c r="E39" s="44"/>
      <c r="F39" s="44"/>
      <c r="G39" s="44"/>
      <c r="H39" s="44"/>
    </row>
    <row r="40" spans="1:8" ht="15" customHeight="1" x14ac:dyDescent="0.35">
      <c r="A40" s="44"/>
      <c r="B40" s="44"/>
      <c r="C40" s="44"/>
      <c r="D40" s="44"/>
      <c r="E40" s="44"/>
      <c r="F40" s="44"/>
      <c r="G40" s="44"/>
      <c r="H40" s="44"/>
    </row>
    <row r="41" spans="1:8" ht="15" customHeight="1" x14ac:dyDescent="0.35">
      <c r="A41" s="44"/>
      <c r="B41" s="44"/>
      <c r="C41" s="44"/>
      <c r="D41" s="44"/>
      <c r="E41" s="44"/>
      <c r="F41" s="44"/>
      <c r="G41" s="44"/>
      <c r="H41" s="44"/>
    </row>
    <row r="42" spans="1:8" ht="15" customHeight="1" x14ac:dyDescent="0.35">
      <c r="A42" s="44"/>
      <c r="B42" s="44"/>
      <c r="C42" s="44"/>
      <c r="D42" s="44"/>
      <c r="E42" s="44"/>
      <c r="F42" s="44"/>
      <c r="G42" s="44"/>
      <c r="H42" s="44"/>
    </row>
    <row r="43" spans="1:8" ht="15" customHeight="1" x14ac:dyDescent="0.35">
      <c r="A43" s="44"/>
      <c r="B43" s="44"/>
      <c r="C43" s="44"/>
      <c r="D43" s="44"/>
      <c r="E43" s="44"/>
      <c r="F43" s="44"/>
      <c r="G43" s="44"/>
      <c r="H43" s="44"/>
    </row>
    <row r="44" spans="1:8" ht="15" customHeight="1" x14ac:dyDescent="0.35">
      <c r="A44" s="44"/>
      <c r="B44" s="44"/>
      <c r="C44" s="44"/>
      <c r="D44" s="44"/>
      <c r="E44" s="44"/>
      <c r="F44" s="44"/>
      <c r="G44" s="44"/>
      <c r="H44" s="44"/>
    </row>
    <row r="45" spans="1:8" ht="15" customHeight="1" x14ac:dyDescent="0.35">
      <c r="A45" s="44"/>
      <c r="B45" s="44"/>
      <c r="C45" s="44"/>
      <c r="D45" s="44"/>
      <c r="E45" s="44"/>
      <c r="F45" s="44"/>
      <c r="G45" s="44"/>
      <c r="H45" s="44"/>
    </row>
    <row r="46" spans="1:8" ht="15" customHeight="1" x14ac:dyDescent="0.35">
      <c r="A46" s="44"/>
      <c r="B46" s="44"/>
      <c r="C46" s="44"/>
      <c r="D46" s="44"/>
      <c r="E46" s="44"/>
      <c r="F46" s="44"/>
      <c r="G46" s="44"/>
      <c r="H46" s="44"/>
    </row>
    <row r="47" spans="1:8" ht="15" customHeight="1" x14ac:dyDescent="0.35">
      <c r="A47" s="44"/>
      <c r="B47" s="44"/>
      <c r="C47" s="44"/>
      <c r="D47" s="44"/>
      <c r="E47" s="44"/>
      <c r="F47" s="44"/>
      <c r="G47" s="44"/>
      <c r="H47" s="44"/>
    </row>
    <row r="48" spans="1:8" ht="15" customHeight="1" x14ac:dyDescent="0.35">
      <c r="A48" s="44"/>
      <c r="B48" s="44"/>
      <c r="C48" s="44"/>
      <c r="D48" s="44"/>
      <c r="E48" s="44"/>
      <c r="F48" s="44"/>
      <c r="G48" s="44"/>
      <c r="H48" s="44"/>
    </row>
    <row r="49" spans="1:8" ht="15" customHeight="1" x14ac:dyDescent="0.35">
      <c r="A49" s="44"/>
      <c r="B49" s="44"/>
      <c r="C49" s="44"/>
      <c r="D49" s="44"/>
      <c r="E49" s="44"/>
      <c r="F49" s="44"/>
      <c r="G49" s="44"/>
      <c r="H49" s="44"/>
    </row>
    <row r="50" spans="1:8" ht="15" customHeight="1" x14ac:dyDescent="0.35">
      <c r="A50" s="44"/>
      <c r="B50" s="44"/>
      <c r="C50" s="44"/>
      <c r="D50" s="44"/>
      <c r="E50" s="44"/>
      <c r="F50" s="44"/>
      <c r="G50" s="44"/>
      <c r="H50" s="44"/>
    </row>
    <row r="51" spans="1:8" ht="15" customHeight="1" x14ac:dyDescent="0.35">
      <c r="A51" s="44"/>
      <c r="B51" s="44"/>
      <c r="C51" s="44"/>
      <c r="D51" s="44"/>
      <c r="E51" s="44"/>
      <c r="F51" s="44"/>
      <c r="G51" s="44"/>
      <c r="H51" s="44"/>
    </row>
    <row r="52" spans="1:8" ht="15" customHeight="1" x14ac:dyDescent="0.35">
      <c r="A52" s="44"/>
      <c r="B52" s="44"/>
      <c r="C52" s="44"/>
      <c r="D52" s="44"/>
      <c r="E52" s="44"/>
      <c r="F52" s="44"/>
      <c r="G52" s="44"/>
      <c r="H52" s="44"/>
    </row>
    <row r="53" spans="1:8" ht="15" customHeight="1" x14ac:dyDescent="0.35">
      <c r="A53" s="44"/>
      <c r="B53" s="44"/>
      <c r="C53" s="44"/>
      <c r="D53" s="44"/>
      <c r="E53" s="44"/>
      <c r="F53" s="44"/>
      <c r="G53" s="44"/>
      <c r="H53" s="44"/>
    </row>
    <row r="54" spans="1:8" ht="15" customHeight="1" x14ac:dyDescent="0.35">
      <c r="A54" s="44"/>
      <c r="B54" s="44"/>
      <c r="C54" s="44"/>
      <c r="D54" s="44"/>
      <c r="E54" s="44"/>
      <c r="F54" s="44"/>
      <c r="G54" s="44"/>
      <c r="H54" s="44"/>
    </row>
    <row r="55" spans="1:8" ht="15" customHeight="1" x14ac:dyDescent="0.35">
      <c r="A55" s="44"/>
      <c r="B55" s="44"/>
      <c r="C55" s="44"/>
      <c r="D55" s="44"/>
      <c r="E55" s="44"/>
      <c r="F55" s="44"/>
      <c r="G55" s="44"/>
      <c r="H55" s="44"/>
    </row>
    <row r="56" spans="1:8" ht="15" customHeight="1" x14ac:dyDescent="0.35">
      <c r="A56" s="44"/>
      <c r="B56" s="44"/>
      <c r="C56" s="44"/>
      <c r="D56" s="44"/>
      <c r="E56" s="44"/>
      <c r="F56" s="44"/>
      <c r="G56" s="44"/>
      <c r="H56" s="44"/>
    </row>
    <row r="57" spans="1:8" ht="15" customHeight="1" x14ac:dyDescent="0.35">
      <c r="A57" s="44"/>
      <c r="B57" s="44"/>
      <c r="C57" s="44"/>
      <c r="D57" s="44"/>
      <c r="E57" s="44"/>
      <c r="F57" s="44"/>
      <c r="G57" s="44"/>
      <c r="H57" s="44"/>
    </row>
    <row r="58" spans="1:8" ht="15" customHeight="1" x14ac:dyDescent="0.35">
      <c r="A58" s="44"/>
      <c r="B58" s="44"/>
      <c r="C58" s="44"/>
      <c r="D58" s="44"/>
      <c r="E58" s="44"/>
      <c r="F58" s="44"/>
      <c r="G58" s="44"/>
      <c r="H58" s="44"/>
    </row>
    <row r="59" spans="1:8" ht="15" customHeight="1" x14ac:dyDescent="0.35">
      <c r="A59" s="44"/>
      <c r="B59" s="44"/>
      <c r="C59" s="44"/>
      <c r="D59" s="44"/>
      <c r="E59" s="44"/>
      <c r="F59" s="44"/>
      <c r="G59" s="44"/>
      <c r="H59" s="44"/>
    </row>
    <row r="60" spans="1:8" ht="15" customHeight="1" x14ac:dyDescent="0.35">
      <c r="A60" s="44"/>
      <c r="B60" s="44"/>
      <c r="C60" s="44"/>
      <c r="D60" s="44"/>
      <c r="E60" s="44"/>
      <c r="F60" s="44"/>
      <c r="G60" s="44"/>
      <c r="H60" s="44"/>
    </row>
    <row r="61" spans="1:8" ht="15" customHeight="1" x14ac:dyDescent="0.35">
      <c r="A61" s="44"/>
      <c r="B61" s="44"/>
      <c r="C61" s="44"/>
      <c r="D61" s="44"/>
      <c r="E61" s="44"/>
      <c r="F61" s="44"/>
      <c r="G61" s="44"/>
      <c r="H61" s="44"/>
    </row>
    <row r="62" spans="1:8" ht="15" customHeight="1" x14ac:dyDescent="0.35">
      <c r="A62" s="44"/>
      <c r="B62" s="44"/>
      <c r="C62" s="44"/>
      <c r="D62" s="44"/>
      <c r="E62" s="44"/>
      <c r="F62" s="44"/>
      <c r="G62" s="44"/>
      <c r="H62" s="44"/>
    </row>
    <row r="63" spans="1:8" ht="15" customHeight="1" x14ac:dyDescent="0.35">
      <c r="A63" s="44"/>
      <c r="B63" s="44"/>
      <c r="C63" s="44"/>
      <c r="D63" s="44"/>
      <c r="E63" s="44"/>
      <c r="F63" s="44"/>
      <c r="G63" s="44"/>
      <c r="H63" s="44"/>
    </row>
    <row r="64" spans="1:8" ht="15" customHeight="1" x14ac:dyDescent="0.35">
      <c r="A64" s="44"/>
      <c r="B64" s="44"/>
      <c r="C64" s="44"/>
      <c r="D64" s="44"/>
      <c r="E64" s="44"/>
      <c r="F64" s="44"/>
      <c r="G64" s="44"/>
      <c r="H64" s="44"/>
    </row>
    <row r="65" spans="1:8" ht="15" customHeight="1" x14ac:dyDescent="0.35">
      <c r="A65" s="44"/>
      <c r="B65" s="44"/>
      <c r="C65" s="44"/>
      <c r="D65" s="44"/>
      <c r="E65" s="44"/>
      <c r="F65" s="44"/>
      <c r="G65" s="44"/>
      <c r="H65" s="44"/>
    </row>
    <row r="66" spans="1:8" ht="15" customHeight="1" x14ac:dyDescent="0.35">
      <c r="A66" s="44"/>
      <c r="B66" s="44"/>
      <c r="C66" s="44"/>
      <c r="D66" s="44"/>
      <c r="E66" s="44"/>
      <c r="F66" s="44"/>
      <c r="G66" s="44"/>
      <c r="H66" s="44"/>
    </row>
    <row r="67" spans="1:8" ht="15" customHeight="1" x14ac:dyDescent="0.35">
      <c r="A67" s="44"/>
      <c r="B67" s="44"/>
      <c r="C67" s="44"/>
      <c r="D67" s="44"/>
      <c r="E67" s="44"/>
      <c r="F67" s="44"/>
      <c r="G67" s="44"/>
      <c r="H67" s="44"/>
    </row>
  </sheetData>
  <mergeCells count="4">
    <mergeCell ref="B2:E2"/>
    <mergeCell ref="F2:F3"/>
    <mergeCell ref="G2:G3"/>
    <mergeCell ref="H2:H3"/>
  </mergeCells>
  <phoneticPr fontId="8" type="noConversion"/>
  <conditionalFormatting sqref="A4">
    <cfRule type="expression" dxfId="2" priority="4">
      <formula>$A4&lt;&gt;""</formula>
    </cfRule>
  </conditionalFormatting>
  <conditionalFormatting sqref="A10:A11">
    <cfRule type="expression" dxfId="1" priority="2">
      <formula>$A10&lt;&gt;""</formula>
    </cfRule>
  </conditionalFormatting>
  <conditionalFormatting sqref="A16">
    <cfRule type="expression" dxfId="0" priority="1">
      <formula>$A16&lt;&gt;""</formula>
    </cfRule>
  </conditionalFormatting>
  <hyperlinks>
    <hyperlink ref="A1" location="案例清单!A1" display="返回" xr:uid="{6FA25A42-0F82-4B84-B6E0-A6C780D33CB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8FBFB-7168-4DF6-B87B-1A0709BDB983}">
  <sheetPr codeName="Sheet7"/>
  <dimension ref="A1:J65"/>
  <sheetViews>
    <sheetView workbookViewId="0">
      <pane xSplit="1" ySplit="1" topLeftCell="B2" activePane="bottomRight" state="frozen"/>
      <selection pane="topRight" activeCell="B1" sqref="B1"/>
      <selection pane="bottomLeft" activeCell="A2" sqref="A2"/>
      <selection pane="bottomRight" activeCell="C12" sqref="C12"/>
    </sheetView>
  </sheetViews>
  <sheetFormatPr defaultRowHeight="13.95" x14ac:dyDescent="0.25"/>
  <cols>
    <col min="1" max="1" width="31.21875" customWidth="1"/>
    <col min="2" max="2" width="16.44140625" customWidth="1"/>
    <col min="3" max="3" width="17.33203125" customWidth="1"/>
    <col min="4" max="4" width="28.44140625" customWidth="1"/>
    <col min="5" max="5" width="26" customWidth="1"/>
    <col min="6" max="6" width="28.44140625" customWidth="1"/>
    <col min="7" max="7" width="27.6640625" customWidth="1"/>
    <col min="8" max="8" width="33.44140625" customWidth="1"/>
    <col min="9" max="9" width="39" customWidth="1"/>
  </cols>
  <sheetData>
    <row r="1" spans="1:10" ht="47.95" customHeight="1" x14ac:dyDescent="0.25">
      <c r="A1" s="27"/>
      <c r="B1" s="19"/>
      <c r="C1" s="27" t="s">
        <v>206</v>
      </c>
      <c r="D1" s="27" t="s">
        <v>202</v>
      </c>
      <c r="E1" s="27" t="s">
        <v>201</v>
      </c>
      <c r="F1" s="28" t="s">
        <v>200</v>
      </c>
      <c r="G1" s="28" t="s">
        <v>199</v>
      </c>
      <c r="H1" s="27" t="s">
        <v>190</v>
      </c>
      <c r="I1" s="19" t="s">
        <v>18</v>
      </c>
    </row>
    <row r="2" spans="1:10" ht="15" customHeight="1" x14ac:dyDescent="0.35">
      <c r="A2" s="44"/>
      <c r="B2" s="44" t="s">
        <v>366</v>
      </c>
      <c r="C2" s="3" t="s">
        <v>19</v>
      </c>
      <c r="D2" s="3" t="str">
        <f>VLOOKUP(C2,'附1-客户类型总览'!A:B,2,0)</f>
        <v>商业银行</v>
      </c>
      <c r="E2" s="3" t="str">
        <f>VLOOKUP(C2,'附1-客户类型总览'!A:C,3,0)</f>
        <v>银行业</v>
      </c>
      <c r="F2" s="3"/>
      <c r="G2" s="44"/>
      <c r="H2" s="44"/>
      <c r="I2" s="44"/>
    </row>
    <row r="3" spans="1:10" ht="15" customHeight="1" x14ac:dyDescent="0.35">
      <c r="A3" s="44"/>
      <c r="B3" s="44" t="s">
        <v>378</v>
      </c>
      <c r="C3" s="3" t="s">
        <v>19</v>
      </c>
      <c r="D3" s="3" t="str">
        <f>VLOOKUP(C3,'附1-客户类型总览'!A:B,2,0)</f>
        <v>商业银行</v>
      </c>
      <c r="E3" s="3" t="str">
        <f>VLOOKUP(C3,'附1-客户类型总览'!A:C,3,0)</f>
        <v>银行业</v>
      </c>
      <c r="F3" s="3"/>
      <c r="G3" s="44"/>
      <c r="H3" s="44"/>
      <c r="I3" s="44"/>
      <c r="J3" s="11"/>
    </row>
    <row r="4" spans="1:10" ht="15" customHeight="1" x14ac:dyDescent="0.35">
      <c r="A4" s="44"/>
      <c r="B4" s="44" t="s">
        <v>385</v>
      </c>
      <c r="C4" s="44" t="s">
        <v>163</v>
      </c>
      <c r="D4" s="3" t="str">
        <f>VLOOKUP(C4,'附1-客户类型总览'!A:B,2,0)</f>
        <v>商业银行</v>
      </c>
      <c r="E4" s="3" t="str">
        <f>VLOOKUP(C4,'附1-客户类型总览'!A:C,3,0)</f>
        <v>银行业</v>
      </c>
      <c r="F4" s="3"/>
      <c r="G4" s="44"/>
      <c r="H4" s="44"/>
      <c r="I4" s="47"/>
      <c r="J4" s="11"/>
    </row>
    <row r="5" spans="1:10" ht="15" customHeight="1" x14ac:dyDescent="0.35">
      <c r="A5" s="44"/>
      <c r="B5" s="44" t="s">
        <v>385</v>
      </c>
      <c r="C5" s="44"/>
      <c r="D5" s="44" t="e">
        <f>VLOOKUP(C5,'附1-客户类型总览'!A:B,2,0)</f>
        <v>#N/A</v>
      </c>
      <c r="E5" s="44" t="e">
        <f>VLOOKUP(C5,'附1-客户类型总览'!A:C,3,0)</f>
        <v>#N/A</v>
      </c>
      <c r="F5" s="44"/>
      <c r="G5" s="44"/>
      <c r="H5" s="44"/>
      <c r="I5" s="44"/>
    </row>
    <row r="6" spans="1:10" ht="15" customHeight="1" x14ac:dyDescent="0.35">
      <c r="A6" s="44"/>
      <c r="B6" s="44" t="s">
        <v>410</v>
      </c>
      <c r="C6" s="44" t="s">
        <v>27</v>
      </c>
      <c r="D6" s="44" t="str">
        <f>VLOOKUP(C6,'附1-客户类型总览'!A:B,2,0)</f>
        <v>商业银行</v>
      </c>
      <c r="E6" s="44" t="str">
        <f>VLOOKUP(C6,'附1-客户类型总览'!A:C,3,0)</f>
        <v>银行业</v>
      </c>
      <c r="F6" s="44"/>
      <c r="G6" s="44"/>
      <c r="H6" s="44"/>
      <c r="I6" s="44"/>
    </row>
    <row r="7" spans="1:10" ht="15" customHeight="1" x14ac:dyDescent="0.35">
      <c r="A7" s="44"/>
      <c r="B7" s="44" t="s">
        <v>419</v>
      </c>
      <c r="C7" s="44"/>
      <c r="D7" s="44" t="e">
        <f>VLOOKUP(C7,'附1-客户类型总览'!A:B,2,0)</f>
        <v>#N/A</v>
      </c>
      <c r="E7" s="44" t="e">
        <f>VLOOKUP(C7,'附1-客户类型总览'!A:C,3,0)</f>
        <v>#N/A</v>
      </c>
      <c r="F7" s="44"/>
      <c r="G7" s="44"/>
      <c r="H7" s="44"/>
      <c r="I7" s="44"/>
    </row>
    <row r="8" spans="1:10" ht="15" customHeight="1" x14ac:dyDescent="0.35">
      <c r="A8" s="44"/>
      <c r="B8" s="44" t="s">
        <v>294</v>
      </c>
      <c r="C8" s="44" t="s">
        <v>27</v>
      </c>
      <c r="D8" s="44" t="str">
        <f>VLOOKUP(C8,'附1-客户类型总览'!A:B,2,0)</f>
        <v>商业银行</v>
      </c>
      <c r="E8" s="44" t="str">
        <f>VLOOKUP(C8,'附1-客户类型总览'!A:C,3,0)</f>
        <v>银行业</v>
      </c>
      <c r="F8" s="44"/>
      <c r="G8" s="44"/>
      <c r="H8" s="44"/>
      <c r="I8" s="44"/>
    </row>
    <row r="9" spans="1:10" ht="15" customHeight="1" x14ac:dyDescent="0.35">
      <c r="A9" s="44"/>
      <c r="B9" s="44" t="s">
        <v>294</v>
      </c>
      <c r="C9" s="44"/>
      <c r="D9" s="44" t="e">
        <f>VLOOKUP(C9,'附1-客户类型总览'!A:B,2,0)</f>
        <v>#N/A</v>
      </c>
      <c r="E9" s="44" t="e">
        <f>VLOOKUP(C9,'附1-客户类型总览'!A:C,3,0)</f>
        <v>#N/A</v>
      </c>
      <c r="F9" s="44"/>
      <c r="G9" s="44"/>
      <c r="H9" s="44"/>
      <c r="I9" s="44"/>
    </row>
    <row r="10" spans="1:10" ht="15" customHeight="1" x14ac:dyDescent="0.35">
      <c r="A10" s="44"/>
      <c r="B10" s="44" t="s">
        <v>449</v>
      </c>
      <c r="C10" s="44"/>
      <c r="D10" s="44" t="e">
        <f>VLOOKUP(C10,'附1-客户类型总览'!A:B,2,0)</f>
        <v>#N/A</v>
      </c>
      <c r="E10" s="44" t="e">
        <f>VLOOKUP(C10,'附1-客户类型总览'!A:C,3,0)</f>
        <v>#N/A</v>
      </c>
      <c r="F10" s="44"/>
      <c r="G10" s="44"/>
      <c r="H10" s="44"/>
      <c r="I10" s="44"/>
    </row>
    <row r="11" spans="1:10" ht="15" customHeight="1" x14ac:dyDescent="0.35">
      <c r="A11" s="44"/>
      <c r="B11" s="44" t="s">
        <v>465</v>
      </c>
      <c r="C11" s="44"/>
      <c r="D11" s="44" t="e">
        <f>VLOOKUP(C11,'附1-客户类型总览'!A:B,2,0)</f>
        <v>#N/A</v>
      </c>
      <c r="E11" s="44" t="e">
        <f>VLOOKUP(C11,'附1-客户类型总览'!A:C,3,0)</f>
        <v>#N/A</v>
      </c>
      <c r="F11" s="44"/>
      <c r="G11" s="44"/>
      <c r="H11" s="44"/>
      <c r="I11" s="44"/>
    </row>
    <row r="12" spans="1:10" ht="15" customHeight="1" x14ac:dyDescent="0.35">
      <c r="A12" s="44"/>
      <c r="B12" s="44" t="s">
        <v>475</v>
      </c>
      <c r="C12" s="44"/>
      <c r="D12" s="44" t="e">
        <f>VLOOKUP(C12,'附1-客户类型总览'!A:B,2,0)</f>
        <v>#N/A</v>
      </c>
      <c r="E12" s="44" t="e">
        <f>VLOOKUP(C12,'附1-客户类型总览'!A:C,3,0)</f>
        <v>#N/A</v>
      </c>
      <c r="F12" s="44"/>
      <c r="G12" s="44"/>
      <c r="H12" s="44"/>
      <c r="I12" s="44"/>
    </row>
    <row r="13" spans="1:10" ht="15" customHeight="1" x14ac:dyDescent="0.35">
      <c r="A13" s="44"/>
      <c r="B13" s="44" t="s">
        <v>304</v>
      </c>
      <c r="C13" s="44"/>
      <c r="D13" s="44" t="e">
        <f>VLOOKUP(C13,'附1-客户类型总览'!A:B,2,0)</f>
        <v>#N/A</v>
      </c>
      <c r="E13" s="44" t="e">
        <f>VLOOKUP(C13,'附1-客户类型总览'!A:C,3,0)</f>
        <v>#N/A</v>
      </c>
      <c r="F13" s="44"/>
      <c r="G13" s="44"/>
      <c r="H13" s="44"/>
      <c r="I13" s="44"/>
    </row>
    <row r="14" spans="1:10" ht="15" customHeight="1" x14ac:dyDescent="0.35">
      <c r="A14" s="44"/>
      <c r="B14" s="44" t="s">
        <v>306</v>
      </c>
      <c r="C14" s="44"/>
      <c r="D14" s="44" t="e">
        <f>VLOOKUP(C14,'附1-客户类型总览'!A:B,2,0)</f>
        <v>#N/A</v>
      </c>
      <c r="E14" s="44" t="e">
        <f>VLOOKUP(C14,'附1-客户类型总览'!A:C,3,0)</f>
        <v>#N/A</v>
      </c>
      <c r="F14" s="44"/>
      <c r="G14" s="44"/>
      <c r="H14" s="44"/>
      <c r="I14" s="44"/>
    </row>
    <row r="15" spans="1:10" ht="15" customHeight="1" x14ac:dyDescent="0.35">
      <c r="A15" s="44"/>
      <c r="B15" s="44" t="s">
        <v>509</v>
      </c>
      <c r="C15" s="44"/>
      <c r="D15" s="44" t="e">
        <f>VLOOKUP(C15,'附1-客户类型总览'!A:B,2,0)</f>
        <v>#N/A</v>
      </c>
      <c r="E15" s="44" t="e">
        <f>VLOOKUP(C15,'附1-客户类型总览'!A:C,3,0)</f>
        <v>#N/A</v>
      </c>
      <c r="F15" s="44"/>
      <c r="G15" s="44"/>
      <c r="H15" s="44"/>
      <c r="I15" s="44"/>
    </row>
    <row r="16" spans="1:10" ht="15" customHeight="1" x14ac:dyDescent="0.35">
      <c r="A16" s="44"/>
      <c r="B16" s="44" t="s">
        <v>524</v>
      </c>
      <c r="C16" s="44"/>
      <c r="D16" s="44" t="e">
        <f>VLOOKUP(C16,'附1-客户类型总览'!A:B,2,0)</f>
        <v>#N/A</v>
      </c>
      <c r="E16" s="44" t="e">
        <f>VLOOKUP(C16,'附1-客户类型总览'!A:C,3,0)</f>
        <v>#N/A</v>
      </c>
      <c r="F16" s="44"/>
      <c r="G16" s="44"/>
      <c r="H16" s="44"/>
      <c r="I16" s="44"/>
    </row>
    <row r="17" spans="1:9" ht="15" customHeight="1" x14ac:dyDescent="0.35">
      <c r="A17" s="44"/>
      <c r="B17" s="44" t="s">
        <v>531</v>
      </c>
      <c r="C17" s="44"/>
      <c r="D17" s="44" t="e">
        <f>VLOOKUP(C17,'附1-客户类型总览'!A:B,2,0)</f>
        <v>#N/A</v>
      </c>
      <c r="E17" s="44" t="e">
        <f>VLOOKUP(C17,'附1-客户类型总览'!A:C,3,0)</f>
        <v>#N/A</v>
      </c>
      <c r="F17" s="44"/>
      <c r="G17" s="44"/>
      <c r="H17" s="44"/>
      <c r="I17" s="44"/>
    </row>
    <row r="18" spans="1:9" ht="15" customHeight="1" x14ac:dyDescent="0.35">
      <c r="A18" s="44"/>
      <c r="B18" s="44" t="s">
        <v>351</v>
      </c>
      <c r="C18" s="44"/>
      <c r="D18" s="44" t="e">
        <f>VLOOKUP(C18,'附1-客户类型总览'!A:B,2,0)</f>
        <v>#N/A</v>
      </c>
      <c r="E18" s="44" t="e">
        <f>VLOOKUP(C18,'附1-客户类型总览'!A:C,3,0)</f>
        <v>#N/A</v>
      </c>
      <c r="F18" s="44"/>
      <c r="G18" s="44"/>
      <c r="H18" s="44"/>
      <c r="I18" s="44"/>
    </row>
    <row r="19" spans="1:9" ht="15" customHeight="1" x14ac:dyDescent="0.35">
      <c r="A19" s="44"/>
      <c r="B19" s="44" t="s">
        <v>550</v>
      </c>
      <c r="C19" s="44"/>
      <c r="D19" s="44" t="e">
        <f>VLOOKUP(C19,'附1-客户类型总览'!A:B,2,0)</f>
        <v>#N/A</v>
      </c>
      <c r="E19" s="44" t="e">
        <f>VLOOKUP(C19,'附1-客户类型总览'!A:C,3,0)</f>
        <v>#N/A</v>
      </c>
      <c r="F19" s="44"/>
      <c r="G19" s="44"/>
      <c r="H19" s="44"/>
      <c r="I19" s="44"/>
    </row>
    <row r="20" spans="1:9" ht="15" customHeight="1" x14ac:dyDescent="0.35">
      <c r="A20" s="44"/>
      <c r="B20" s="44" t="s">
        <v>573</v>
      </c>
      <c r="C20" s="44"/>
      <c r="D20" s="44" t="e">
        <f>VLOOKUP(C20,'附1-客户类型总览'!A:B,2,0)</f>
        <v>#N/A</v>
      </c>
      <c r="E20" s="44" t="e">
        <f>VLOOKUP(C20,'附1-客户类型总览'!A:C,3,0)</f>
        <v>#N/A</v>
      </c>
      <c r="F20" s="44"/>
      <c r="G20" s="44"/>
      <c r="H20" s="44"/>
      <c r="I20" s="44"/>
    </row>
    <row r="21" spans="1:9" ht="15" customHeight="1" x14ac:dyDescent="0.35">
      <c r="A21" s="44"/>
      <c r="B21" s="44" t="s">
        <v>584</v>
      </c>
      <c r="C21" s="44"/>
      <c r="D21" s="44" t="e">
        <f>VLOOKUP(C21,'附1-客户类型总览'!A:B,2,0)</f>
        <v>#N/A</v>
      </c>
      <c r="E21" s="44" t="e">
        <f>VLOOKUP(C21,'附1-客户类型总览'!A:C,3,0)</f>
        <v>#N/A</v>
      </c>
      <c r="F21" s="44"/>
      <c r="G21" s="44"/>
      <c r="H21" s="44"/>
      <c r="I21" s="44"/>
    </row>
    <row r="22" spans="1:9" ht="15" customHeight="1" x14ac:dyDescent="0.35">
      <c r="A22" s="44"/>
      <c r="B22" s="44" t="s">
        <v>615</v>
      </c>
      <c r="C22" s="44"/>
      <c r="D22" s="44" t="e">
        <f>VLOOKUP(C22,'附1-客户类型总览'!A:B,2,0)</f>
        <v>#N/A</v>
      </c>
      <c r="E22" s="44" t="e">
        <f>VLOOKUP(C22,'附1-客户类型总览'!A:C,3,0)</f>
        <v>#N/A</v>
      </c>
      <c r="F22" s="44"/>
      <c r="G22" s="44"/>
      <c r="H22" s="44"/>
      <c r="I22" s="44"/>
    </row>
    <row r="23" spans="1:9" ht="15" customHeight="1" x14ac:dyDescent="0.35">
      <c r="A23" s="44"/>
      <c r="B23" s="44" t="s">
        <v>626</v>
      </c>
      <c r="C23" s="44"/>
      <c r="D23" s="44" t="e">
        <f>VLOOKUP(C23,'附1-客户类型总览'!A:B,2,0)</f>
        <v>#N/A</v>
      </c>
      <c r="E23" s="44" t="e">
        <f>VLOOKUP(C23,'附1-客户类型总览'!A:C,3,0)</f>
        <v>#N/A</v>
      </c>
      <c r="F23" s="44"/>
      <c r="G23" s="44"/>
      <c r="H23" s="44"/>
      <c r="I23" s="44"/>
    </row>
    <row r="24" spans="1:9" ht="15" customHeight="1" x14ac:dyDescent="0.35">
      <c r="A24" s="44"/>
      <c r="B24" s="44" t="s">
        <v>634</v>
      </c>
      <c r="C24" s="44"/>
      <c r="D24" s="44" t="e">
        <f>VLOOKUP(C24,'附1-客户类型总览'!A:B,2,0)</f>
        <v>#N/A</v>
      </c>
      <c r="E24" s="44" t="e">
        <f>VLOOKUP(C24,'附1-客户类型总览'!A:C,3,0)</f>
        <v>#N/A</v>
      </c>
      <c r="F24" s="44"/>
      <c r="G24" s="44"/>
      <c r="H24" s="44"/>
      <c r="I24" s="44"/>
    </row>
    <row r="25" spans="1:9" ht="15" customHeight="1" x14ac:dyDescent="0.35">
      <c r="A25" s="44"/>
      <c r="B25" s="44" t="s">
        <v>643</v>
      </c>
      <c r="C25" s="44"/>
      <c r="D25" s="44" t="e">
        <f>VLOOKUP(C25,'附1-客户类型总览'!A:B,2,0)</f>
        <v>#N/A</v>
      </c>
      <c r="E25" s="44" t="e">
        <f>VLOOKUP(C25,'附1-客户类型总览'!A:C,3,0)</f>
        <v>#N/A</v>
      </c>
      <c r="F25" s="44"/>
      <c r="G25" s="44"/>
      <c r="H25" s="44"/>
      <c r="I25" s="44"/>
    </row>
    <row r="26" spans="1:9" ht="15" customHeight="1" x14ac:dyDescent="0.35">
      <c r="A26" s="44"/>
      <c r="B26" s="44" t="s">
        <v>660</v>
      </c>
      <c r="C26" s="44"/>
      <c r="D26" s="44" t="e">
        <f>VLOOKUP(C26,'附1-客户类型总览'!A:B,2,0)</f>
        <v>#N/A</v>
      </c>
      <c r="E26" s="44" t="e">
        <f>VLOOKUP(C26,'附1-客户类型总览'!A:C,3,0)</f>
        <v>#N/A</v>
      </c>
      <c r="F26" s="44"/>
      <c r="G26" s="44"/>
      <c r="H26" s="44"/>
      <c r="I26" s="44"/>
    </row>
    <row r="27" spans="1:9" ht="15" customHeight="1" x14ac:dyDescent="0.35">
      <c r="A27" s="44"/>
      <c r="B27" s="44" t="s">
        <v>674</v>
      </c>
      <c r="C27" s="44"/>
      <c r="D27" s="44" t="e">
        <f>VLOOKUP(C27,'附1-客户类型总览'!A:B,2,0)</f>
        <v>#N/A</v>
      </c>
      <c r="E27" s="44" t="e">
        <f>VLOOKUP(C27,'附1-客户类型总览'!A:C,3,0)</f>
        <v>#N/A</v>
      </c>
      <c r="F27" s="44"/>
      <c r="G27" s="44"/>
      <c r="H27" s="44"/>
      <c r="I27" s="44"/>
    </row>
    <row r="28" spans="1:9" ht="15" customHeight="1" x14ac:dyDescent="0.35">
      <c r="A28" s="44"/>
      <c r="B28" s="44" t="s">
        <v>683</v>
      </c>
      <c r="C28" s="44"/>
      <c r="D28" s="44" t="e">
        <f>VLOOKUP(C28,'附1-客户类型总览'!A:B,2,0)</f>
        <v>#N/A</v>
      </c>
      <c r="E28" s="44" t="e">
        <f>VLOOKUP(C28,'附1-客户类型总览'!A:C,3,0)</f>
        <v>#N/A</v>
      </c>
      <c r="F28" s="44"/>
      <c r="G28" s="44"/>
      <c r="H28" s="44"/>
      <c r="I28" s="44"/>
    </row>
    <row r="29" spans="1:9" ht="15" customHeight="1" x14ac:dyDescent="0.35">
      <c r="A29" s="44"/>
      <c r="B29" s="44" t="s">
        <v>364</v>
      </c>
      <c r="C29" s="44"/>
      <c r="D29" s="44" t="e">
        <f>VLOOKUP(C29,'附1-客户类型总览'!A:B,2,0)</f>
        <v>#N/A</v>
      </c>
      <c r="E29" s="44" t="e">
        <f>VLOOKUP(C29,'附1-客户类型总览'!A:C,3,0)</f>
        <v>#N/A</v>
      </c>
      <c r="F29" s="44"/>
      <c r="G29" s="44"/>
      <c r="H29" s="44"/>
      <c r="I29" s="44"/>
    </row>
    <row r="30" spans="1:9" ht="15" customHeight="1" x14ac:dyDescent="0.25"/>
    <row r="31" spans="1:9" ht="15" customHeight="1" x14ac:dyDescent="0.25"/>
    <row r="32" spans="1:9" ht="15" customHeight="1" x14ac:dyDescent="0.25"/>
    <row r="33" spans="1:9" ht="15" customHeight="1" x14ac:dyDescent="0.35">
      <c r="A33" s="44"/>
      <c r="B33" s="44"/>
      <c r="C33" s="44"/>
      <c r="D33" s="44" t="e">
        <f>VLOOKUP(C33,'附1-客户类型总览'!A:B,2,0)</f>
        <v>#N/A</v>
      </c>
      <c r="E33" s="44" t="e">
        <f>VLOOKUP(C33,'附1-客户类型总览'!A:C,3,0)</f>
        <v>#N/A</v>
      </c>
      <c r="F33" s="44"/>
      <c r="G33" s="44"/>
      <c r="H33" s="44"/>
      <c r="I33" s="44"/>
    </row>
    <row r="34" spans="1:9" ht="15" customHeight="1" x14ac:dyDescent="0.35">
      <c r="A34" s="44"/>
      <c r="B34" s="44"/>
      <c r="C34" s="44"/>
      <c r="D34" s="44" t="e">
        <f>VLOOKUP(C34,'附1-客户类型总览'!A:B,2,0)</f>
        <v>#N/A</v>
      </c>
      <c r="E34" s="44" t="e">
        <f>VLOOKUP(C34,'附1-客户类型总览'!A:C,3,0)</f>
        <v>#N/A</v>
      </c>
      <c r="F34" s="44"/>
      <c r="G34" s="44"/>
      <c r="H34" s="44"/>
      <c r="I34" s="44"/>
    </row>
    <row r="35" spans="1:9" ht="15" customHeight="1" x14ac:dyDescent="0.35">
      <c r="A35" s="44"/>
      <c r="B35" s="44"/>
      <c r="C35" s="44"/>
      <c r="D35" s="44" t="e">
        <f>VLOOKUP(C35,'附1-客户类型总览'!A:B,2,0)</f>
        <v>#N/A</v>
      </c>
      <c r="E35" s="44" t="e">
        <f>VLOOKUP(C35,'附1-客户类型总览'!A:C,3,0)</f>
        <v>#N/A</v>
      </c>
      <c r="F35" s="44"/>
      <c r="G35" s="44"/>
      <c r="H35" s="44"/>
      <c r="I35" s="44"/>
    </row>
    <row r="36" spans="1:9" ht="15" customHeight="1" x14ac:dyDescent="0.35">
      <c r="A36" s="44"/>
      <c r="B36" s="44"/>
      <c r="C36" s="44"/>
      <c r="D36" s="44" t="e">
        <f>VLOOKUP(C36,'附1-客户类型总览'!A:B,2,0)</f>
        <v>#N/A</v>
      </c>
      <c r="E36" s="44" t="e">
        <f>VLOOKUP(C36,'附1-客户类型总览'!A:C,3,0)</f>
        <v>#N/A</v>
      </c>
      <c r="F36" s="44"/>
      <c r="G36" s="44"/>
      <c r="H36" s="44"/>
      <c r="I36" s="44"/>
    </row>
    <row r="37" spans="1:9" ht="15" customHeight="1" x14ac:dyDescent="0.35">
      <c r="A37" s="44"/>
      <c r="B37" s="44"/>
      <c r="C37" s="44"/>
      <c r="D37" s="44" t="e">
        <f>VLOOKUP(C37,'附1-客户类型总览'!A:B,2,0)</f>
        <v>#N/A</v>
      </c>
      <c r="E37" s="44" t="e">
        <f>VLOOKUP(C37,'附1-客户类型总览'!A:C,3,0)</f>
        <v>#N/A</v>
      </c>
      <c r="F37" s="44"/>
      <c r="G37" s="44"/>
      <c r="H37" s="44"/>
      <c r="I37" s="44"/>
    </row>
    <row r="38" spans="1:9" ht="15" customHeight="1" x14ac:dyDescent="0.25"/>
    <row r="39" spans="1:9" ht="15" customHeight="1" x14ac:dyDescent="0.25"/>
    <row r="40" spans="1:9" ht="15" customHeight="1" x14ac:dyDescent="0.25"/>
    <row r="41" spans="1:9" ht="15" customHeight="1" x14ac:dyDescent="0.25"/>
    <row r="42" spans="1:9" ht="15" customHeight="1" x14ac:dyDescent="0.25"/>
    <row r="43" spans="1:9" ht="15" customHeight="1" x14ac:dyDescent="0.25"/>
    <row r="44" spans="1:9" ht="15" customHeight="1" x14ac:dyDescent="0.25"/>
    <row r="45" spans="1:9" ht="15" customHeight="1" x14ac:dyDescent="0.25"/>
    <row r="46" spans="1:9" ht="15" customHeight="1" x14ac:dyDescent="0.25"/>
    <row r="47" spans="1:9" ht="15" customHeight="1" x14ac:dyDescent="0.25"/>
    <row r="48" spans="1:9"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sheetData>
  <phoneticPr fontId="8" type="noConversion"/>
  <dataValidations count="2">
    <dataValidation type="list" allowBlank="1" showInputMessage="1" showErrorMessage="1" sqref="F2" xr:uid="{AD577A22-34C9-4A08-AA85-39F9341763BA}">
      <formula1>"北京市,上海市,天津市,重庆市,黑龙江省,辽宁省,吉林省,河北省,河南省,湖北省,湖南省,山东省,山西省,陕西省,安徽省,浙江省,江苏省,福建省,广东省,海南省,四川省,云南省,贵州省,青海省,甘肃省,江西省,台湾省,内蒙古自治区,宁夏回族自治区,新疆维吾尔自治区,西藏自治区,广西壮族自治区,香港特别行政区,澳门特别行政区"</formula1>
    </dataValidation>
    <dataValidation type="list" allowBlank="1" showInputMessage="1" showErrorMessage="1" sqref="F3:F4" xr:uid="{5D7546B3-7E58-40DD-A73A-72ACD24F980C}">
      <formula1>"北京市,上海市,天津市,重庆市,黑龙江省,辽宁省,吉林省,河北省,河南省,湖北省,湖南省,山东省,山西省,陕西省,安徽省,浙江省,江苏省,福建省,广东省,海南省,四川省,云南省,贵州省,青海省,甘肃省,江西省,台湾省,内蒙古自治区,宁夏回族自治区,新疆维吾尔自治区,西藏自治区,广西壮族自治区,香港特别行政区、澳门特别行政区,香港特别行政区、澳门特别行政区"</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08D8-2CDD-4D09-97AC-FC38AAFF89C2}">
  <sheetPr codeName="Sheet5"/>
  <dimension ref="A1:C34"/>
  <sheetViews>
    <sheetView workbookViewId="0">
      <selection activeCell="A3" sqref="A3"/>
    </sheetView>
  </sheetViews>
  <sheetFormatPr defaultRowHeight="13.95" x14ac:dyDescent="0.25"/>
  <cols>
    <col min="1" max="1" width="17.77734375" customWidth="1"/>
    <col min="2" max="2" width="16.109375" customWidth="1"/>
    <col min="3" max="3" width="19.44140625" customWidth="1"/>
  </cols>
  <sheetData>
    <row r="1" spans="1:3" ht="29.2" customHeight="1" x14ac:dyDescent="0.25">
      <c r="A1" s="26" t="s">
        <v>7</v>
      </c>
      <c r="B1" s="26" t="s">
        <v>6</v>
      </c>
      <c r="C1" s="26" t="s">
        <v>10</v>
      </c>
    </row>
    <row r="2" spans="1:3" x14ac:dyDescent="0.25">
      <c r="A2" s="10" t="s">
        <v>21</v>
      </c>
      <c r="B2" s="10" t="s">
        <v>21</v>
      </c>
      <c r="C2" s="10" t="s">
        <v>20</v>
      </c>
    </row>
    <row r="3" spans="1:3" x14ac:dyDescent="0.25">
      <c r="A3" s="10" t="s">
        <v>22</v>
      </c>
      <c r="B3" s="10" t="s">
        <v>22</v>
      </c>
      <c r="C3" s="10" t="s">
        <v>11</v>
      </c>
    </row>
    <row r="4" spans="1:3" x14ac:dyDescent="0.25">
      <c r="A4" s="10" t="s">
        <v>24</v>
      </c>
      <c r="B4" s="10" t="s">
        <v>23</v>
      </c>
      <c r="C4" s="10" t="s">
        <v>11</v>
      </c>
    </row>
    <row r="5" spans="1:3" x14ac:dyDescent="0.25">
      <c r="A5" s="10" t="s">
        <v>25</v>
      </c>
      <c r="B5" s="10" t="s">
        <v>23</v>
      </c>
      <c r="C5" s="10" t="s">
        <v>11</v>
      </c>
    </row>
    <row r="6" spans="1:3" x14ac:dyDescent="0.25">
      <c r="A6" s="10" t="s">
        <v>26</v>
      </c>
      <c r="B6" s="10" t="s">
        <v>23</v>
      </c>
      <c r="C6" s="10" t="s">
        <v>11</v>
      </c>
    </row>
    <row r="7" spans="1:3" x14ac:dyDescent="0.25">
      <c r="A7" s="10" t="s">
        <v>27</v>
      </c>
      <c r="B7" s="10" t="s">
        <v>23</v>
      </c>
      <c r="C7" s="10" t="s">
        <v>11</v>
      </c>
    </row>
    <row r="8" spans="1:3" x14ac:dyDescent="0.25">
      <c r="A8" s="10" t="s">
        <v>28</v>
      </c>
      <c r="B8" s="10" t="s">
        <v>23</v>
      </c>
      <c r="C8" s="10" t="s">
        <v>11</v>
      </c>
    </row>
    <row r="9" spans="1:3" x14ac:dyDescent="0.25">
      <c r="A9" s="10" t="s">
        <v>19</v>
      </c>
      <c r="B9" s="10" t="s">
        <v>23</v>
      </c>
      <c r="C9" s="10" t="s">
        <v>11</v>
      </c>
    </row>
    <row r="10" spans="1:3" x14ac:dyDescent="0.25">
      <c r="A10" s="10" t="s">
        <v>29</v>
      </c>
      <c r="B10" s="10" t="s">
        <v>23</v>
      </c>
      <c r="C10" s="10" t="s">
        <v>11</v>
      </c>
    </row>
    <row r="11" spans="1:3" x14ac:dyDescent="0.25">
      <c r="A11" s="10" t="s">
        <v>30</v>
      </c>
      <c r="B11" s="10" t="s">
        <v>23</v>
      </c>
      <c r="C11" s="10" t="s">
        <v>11</v>
      </c>
    </row>
    <row r="12" spans="1:3" x14ac:dyDescent="0.25">
      <c r="A12" s="10" t="s">
        <v>31</v>
      </c>
      <c r="B12" s="10" t="s">
        <v>23</v>
      </c>
      <c r="C12" s="10" t="s">
        <v>11</v>
      </c>
    </row>
    <row r="13" spans="1:3" x14ac:dyDescent="0.25">
      <c r="A13" s="10" t="s">
        <v>32</v>
      </c>
      <c r="B13" s="10" t="s">
        <v>23</v>
      </c>
      <c r="C13" s="10" t="s">
        <v>11</v>
      </c>
    </row>
    <row r="14" spans="1:3" x14ac:dyDescent="0.25">
      <c r="A14" s="10" t="s">
        <v>35</v>
      </c>
      <c r="B14" s="10" t="s">
        <v>34</v>
      </c>
      <c r="C14" s="10" t="s">
        <v>33</v>
      </c>
    </row>
    <row r="15" spans="1:3" x14ac:dyDescent="0.25">
      <c r="A15" s="10" t="s">
        <v>36</v>
      </c>
      <c r="B15" s="10" t="s">
        <v>34</v>
      </c>
      <c r="C15" s="10" t="s">
        <v>33</v>
      </c>
    </row>
    <row r="16" spans="1:3" x14ac:dyDescent="0.25">
      <c r="A16" s="10" t="s">
        <v>38</v>
      </c>
      <c r="B16" s="10" t="s">
        <v>37</v>
      </c>
      <c r="C16" s="10" t="s">
        <v>33</v>
      </c>
    </row>
    <row r="17" spans="1:3" x14ac:dyDescent="0.25">
      <c r="A17" s="10" t="s">
        <v>40</v>
      </c>
      <c r="B17" s="10" t="s">
        <v>39</v>
      </c>
      <c r="C17" s="10" t="s">
        <v>33</v>
      </c>
    </row>
    <row r="18" spans="1:3" x14ac:dyDescent="0.25">
      <c r="A18" s="10" t="s">
        <v>42</v>
      </c>
      <c r="B18" s="10" t="s">
        <v>41</v>
      </c>
      <c r="C18" s="10" t="s">
        <v>33</v>
      </c>
    </row>
    <row r="19" spans="1:3" x14ac:dyDescent="0.25">
      <c r="A19" s="10" t="s">
        <v>44</v>
      </c>
      <c r="B19" s="10" t="s">
        <v>43</v>
      </c>
      <c r="C19" s="10" t="s">
        <v>33</v>
      </c>
    </row>
    <row r="20" spans="1:3" x14ac:dyDescent="0.25">
      <c r="A20" s="10" t="s">
        <v>45</v>
      </c>
      <c r="B20" s="10" t="s">
        <v>43</v>
      </c>
      <c r="C20" s="10" t="s">
        <v>33</v>
      </c>
    </row>
    <row r="21" spans="1:3" x14ac:dyDescent="0.25">
      <c r="A21" s="10" t="s">
        <v>46</v>
      </c>
      <c r="B21" s="10" t="s">
        <v>43</v>
      </c>
      <c r="C21" s="10" t="s">
        <v>33</v>
      </c>
    </row>
    <row r="22" spans="1:3" x14ac:dyDescent="0.25">
      <c r="A22" s="10" t="s">
        <v>47</v>
      </c>
      <c r="B22" s="10" t="s">
        <v>43</v>
      </c>
      <c r="C22" s="10" t="s">
        <v>33</v>
      </c>
    </row>
    <row r="23" spans="1:3" x14ac:dyDescent="0.25">
      <c r="A23" s="10" t="s">
        <v>207</v>
      </c>
      <c r="B23" s="10" t="s">
        <v>43</v>
      </c>
      <c r="C23" s="10" t="s">
        <v>33</v>
      </c>
    </row>
    <row r="24" spans="1:3" x14ac:dyDescent="0.25">
      <c r="A24" s="10" t="s">
        <v>208</v>
      </c>
      <c r="B24" s="10" t="s">
        <v>43</v>
      </c>
      <c r="C24" s="10" t="s">
        <v>33</v>
      </c>
    </row>
    <row r="25" spans="1:3" x14ac:dyDescent="0.25">
      <c r="A25" s="10" t="s">
        <v>209</v>
      </c>
      <c r="B25" s="10" t="s">
        <v>43</v>
      </c>
      <c r="C25" s="10" t="s">
        <v>33</v>
      </c>
    </row>
    <row r="26" spans="1:3" x14ac:dyDescent="0.25">
      <c r="A26" s="10" t="s">
        <v>48</v>
      </c>
      <c r="B26" s="10" t="s">
        <v>43</v>
      </c>
      <c r="C26" s="10" t="s">
        <v>33</v>
      </c>
    </row>
    <row r="27" spans="1:3" x14ac:dyDescent="0.25">
      <c r="A27" s="10" t="s">
        <v>49</v>
      </c>
      <c r="B27" s="10" t="s">
        <v>43</v>
      </c>
      <c r="C27" s="10" t="s">
        <v>33</v>
      </c>
    </row>
    <row r="28" spans="1:3" x14ac:dyDescent="0.25">
      <c r="A28" s="10" t="s">
        <v>50</v>
      </c>
      <c r="B28" s="10" t="s">
        <v>43</v>
      </c>
      <c r="C28" s="10" t="s">
        <v>33</v>
      </c>
    </row>
    <row r="29" spans="1:3" x14ac:dyDescent="0.25">
      <c r="A29" s="10" t="s">
        <v>53</v>
      </c>
      <c r="B29" s="10" t="s">
        <v>43</v>
      </c>
      <c r="C29" s="10" t="s">
        <v>33</v>
      </c>
    </row>
    <row r="30" spans="1:3" x14ac:dyDescent="0.25">
      <c r="A30" s="10" t="s">
        <v>51</v>
      </c>
      <c r="B30" s="10" t="s">
        <v>43</v>
      </c>
      <c r="C30" s="10" t="s">
        <v>33</v>
      </c>
    </row>
    <row r="31" spans="1:3" x14ac:dyDescent="0.25">
      <c r="A31" s="10" t="s">
        <v>52</v>
      </c>
      <c r="B31" s="10" t="s">
        <v>43</v>
      </c>
      <c r="C31" s="10" t="s">
        <v>33</v>
      </c>
    </row>
    <row r="32" spans="1:3" x14ac:dyDescent="0.25">
      <c r="A32" s="10" t="s">
        <v>196</v>
      </c>
      <c r="B32" s="10" t="s">
        <v>195</v>
      </c>
      <c r="C32" s="10" t="s">
        <v>194</v>
      </c>
    </row>
    <row r="33" spans="1:3" x14ac:dyDescent="0.25">
      <c r="A33" s="10" t="s">
        <v>197</v>
      </c>
      <c r="B33" s="10" t="s">
        <v>195</v>
      </c>
      <c r="C33" s="10" t="s">
        <v>194</v>
      </c>
    </row>
    <row r="34" spans="1:3" x14ac:dyDescent="0.25">
      <c r="A34" s="10" t="s">
        <v>198</v>
      </c>
      <c r="B34" s="10" t="s">
        <v>195</v>
      </c>
      <c r="C34" s="10" t="s">
        <v>194</v>
      </c>
    </row>
  </sheetData>
  <phoneticPr fontId="8"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7EA7C-EC7C-44F6-9143-65DD832E42A4}">
  <sheetPr codeName="Sheet6"/>
  <dimension ref="A1:C103"/>
  <sheetViews>
    <sheetView tabSelected="1" workbookViewId="0">
      <pane ySplit="1" topLeftCell="A2" activePane="bottomLeft" state="frozen"/>
      <selection pane="bottomLeft" activeCell="D4" sqref="D4"/>
    </sheetView>
  </sheetViews>
  <sheetFormatPr defaultColWidth="9" defaultRowHeight="20.149999999999999" customHeight="1" x14ac:dyDescent="0.25"/>
  <cols>
    <col min="1" max="1" width="29.109375" style="12" customWidth="1"/>
    <col min="2" max="2" width="28.109375" style="12" customWidth="1"/>
    <col min="3" max="3" width="38.77734375" style="12" customWidth="1"/>
    <col min="4" max="4" width="47.6640625" style="12" customWidth="1"/>
    <col min="5" max="16384" width="9" style="12"/>
  </cols>
  <sheetData>
    <row r="1" spans="1:3" ht="20.149999999999999" customHeight="1" x14ac:dyDescent="0.25">
      <c r="A1" s="13" t="s">
        <v>57</v>
      </c>
      <c r="B1" s="13" t="s">
        <v>58</v>
      </c>
      <c r="C1" s="13" t="s">
        <v>147</v>
      </c>
    </row>
    <row r="2" spans="1:3" ht="20.149999999999999" customHeight="1" x14ac:dyDescent="0.45">
      <c r="A2" s="92" t="s">
        <v>54</v>
      </c>
      <c r="B2" s="23" t="s">
        <v>59</v>
      </c>
      <c r="C2" s="14" t="s">
        <v>59</v>
      </c>
    </row>
    <row r="3" spans="1:3" ht="20.149999999999999" customHeight="1" x14ac:dyDescent="0.45">
      <c r="A3" s="94"/>
      <c r="B3" s="23" t="s">
        <v>60</v>
      </c>
      <c r="C3" s="14" t="s">
        <v>60</v>
      </c>
    </row>
    <row r="4" spans="1:3" ht="20.149999999999999" customHeight="1" x14ac:dyDescent="0.45">
      <c r="A4" s="89" t="s">
        <v>148</v>
      </c>
      <c r="B4" s="92" t="s">
        <v>61</v>
      </c>
      <c r="C4" s="14" t="s">
        <v>15</v>
      </c>
    </row>
    <row r="5" spans="1:3" ht="20.149999999999999" customHeight="1" x14ac:dyDescent="0.45">
      <c r="A5" s="90"/>
      <c r="B5" s="93"/>
      <c r="C5" s="14" t="s">
        <v>62</v>
      </c>
    </row>
    <row r="6" spans="1:3" ht="20.149999999999999" customHeight="1" x14ac:dyDescent="0.45">
      <c r="A6" s="90"/>
      <c r="B6" s="93"/>
      <c r="C6" s="14" t="s">
        <v>63</v>
      </c>
    </row>
    <row r="7" spans="1:3" ht="20.149999999999999" customHeight="1" x14ac:dyDescent="0.45">
      <c r="A7" s="90"/>
      <c r="B7" s="93"/>
      <c r="C7" s="14" t="s">
        <v>64</v>
      </c>
    </row>
    <row r="8" spans="1:3" ht="20.149999999999999" customHeight="1" x14ac:dyDescent="0.45">
      <c r="A8" s="90"/>
      <c r="B8" s="93"/>
      <c r="C8" s="14" t="s">
        <v>65</v>
      </c>
    </row>
    <row r="9" spans="1:3" ht="20.149999999999999" customHeight="1" x14ac:dyDescent="0.45">
      <c r="A9" s="90"/>
      <c r="B9" s="93"/>
      <c r="C9" s="14" t="s">
        <v>66</v>
      </c>
    </row>
    <row r="10" spans="1:3" ht="20.149999999999999" customHeight="1" x14ac:dyDescent="0.45">
      <c r="A10" s="90"/>
      <c r="B10" s="94"/>
      <c r="C10" s="14" t="s">
        <v>67</v>
      </c>
    </row>
    <row r="11" spans="1:3" ht="20.149999999999999" customHeight="1" x14ac:dyDescent="0.45">
      <c r="A11" s="90"/>
      <c r="B11" s="89" t="s">
        <v>68</v>
      </c>
      <c r="C11" s="21" t="s">
        <v>69</v>
      </c>
    </row>
    <row r="12" spans="1:3" ht="20.149999999999999" customHeight="1" x14ac:dyDescent="0.45">
      <c r="A12" s="90"/>
      <c r="B12" s="90"/>
      <c r="C12" s="21" t="s">
        <v>70</v>
      </c>
    </row>
    <row r="13" spans="1:3" ht="20.149999999999999" customHeight="1" x14ac:dyDescent="0.45">
      <c r="A13" s="90"/>
      <c r="B13" s="90"/>
      <c r="C13" s="21" t="s">
        <v>71</v>
      </c>
    </row>
    <row r="14" spans="1:3" ht="20.149999999999999" customHeight="1" x14ac:dyDescent="0.45">
      <c r="A14" s="90"/>
      <c r="B14" s="90"/>
      <c r="C14" s="21" t="s">
        <v>72</v>
      </c>
    </row>
    <row r="15" spans="1:3" ht="20.149999999999999" customHeight="1" x14ac:dyDescent="0.45">
      <c r="A15" s="91"/>
      <c r="B15" s="91"/>
      <c r="C15" s="21" t="s">
        <v>73</v>
      </c>
    </row>
    <row r="16" spans="1:3" ht="20.149999999999999" customHeight="1" x14ac:dyDescent="0.45">
      <c r="A16" s="89" t="s">
        <v>55</v>
      </c>
      <c r="B16" s="89" t="s">
        <v>74</v>
      </c>
      <c r="C16" s="22" t="s">
        <v>175</v>
      </c>
    </row>
    <row r="17" spans="1:3" ht="20.149999999999999" customHeight="1" x14ac:dyDescent="0.45">
      <c r="A17" s="90"/>
      <c r="B17" s="91"/>
      <c r="C17" s="21" t="s">
        <v>75</v>
      </c>
    </row>
    <row r="18" spans="1:3" ht="20.149999999999999" customHeight="1" x14ac:dyDescent="0.45">
      <c r="A18" s="90"/>
      <c r="B18" s="89" t="s">
        <v>76</v>
      </c>
      <c r="C18" s="14" t="s">
        <v>77</v>
      </c>
    </row>
    <row r="19" spans="1:3" ht="20.149999999999999" customHeight="1" x14ac:dyDescent="0.45">
      <c r="A19" s="90"/>
      <c r="B19" s="90"/>
      <c r="C19" s="14" t="s">
        <v>78</v>
      </c>
    </row>
    <row r="20" spans="1:3" ht="20.149999999999999" customHeight="1" x14ac:dyDescent="0.45">
      <c r="A20" s="90"/>
      <c r="B20" s="90"/>
      <c r="C20" s="14" t="s">
        <v>79</v>
      </c>
    </row>
    <row r="21" spans="1:3" ht="20.149999999999999" customHeight="1" x14ac:dyDescent="0.45">
      <c r="A21" s="90"/>
      <c r="B21" s="90"/>
      <c r="C21" s="14" t="s">
        <v>80</v>
      </c>
    </row>
    <row r="22" spans="1:3" ht="20.149999999999999" customHeight="1" x14ac:dyDescent="0.45">
      <c r="A22" s="90"/>
      <c r="B22" s="90"/>
      <c r="C22" s="14" t="s">
        <v>81</v>
      </c>
    </row>
    <row r="23" spans="1:3" ht="20.149999999999999" customHeight="1" x14ac:dyDescent="0.45">
      <c r="A23" s="90"/>
      <c r="B23" s="90"/>
      <c r="C23" s="14" t="s">
        <v>82</v>
      </c>
    </row>
    <row r="24" spans="1:3" ht="20.149999999999999" customHeight="1" x14ac:dyDescent="0.45">
      <c r="A24" s="90"/>
      <c r="B24" s="90"/>
      <c r="C24" s="14" t="s">
        <v>83</v>
      </c>
    </row>
    <row r="25" spans="1:3" ht="20.149999999999999" customHeight="1" x14ac:dyDescent="0.45">
      <c r="A25" s="90"/>
      <c r="B25" s="90"/>
      <c r="C25" s="14" t="s">
        <v>84</v>
      </c>
    </row>
    <row r="26" spans="1:3" ht="20.149999999999999" customHeight="1" x14ac:dyDescent="0.45">
      <c r="A26" s="91"/>
      <c r="B26" s="91"/>
      <c r="C26" s="14" t="s">
        <v>85</v>
      </c>
    </row>
    <row r="27" spans="1:3" ht="20.149999999999999" customHeight="1" x14ac:dyDescent="0.45">
      <c r="A27" s="92" t="s">
        <v>86</v>
      </c>
      <c r="B27" s="89" t="s">
        <v>87</v>
      </c>
      <c r="C27" s="14" t="s">
        <v>88</v>
      </c>
    </row>
    <row r="28" spans="1:3" ht="20.149999999999999" customHeight="1" x14ac:dyDescent="0.45">
      <c r="A28" s="93"/>
      <c r="B28" s="90"/>
      <c r="C28" s="14" t="s">
        <v>89</v>
      </c>
    </row>
    <row r="29" spans="1:3" ht="20.149999999999999" customHeight="1" x14ac:dyDescent="0.45">
      <c r="A29" s="93"/>
      <c r="B29" s="90"/>
      <c r="C29" s="14" t="s">
        <v>90</v>
      </c>
    </row>
    <row r="30" spans="1:3" ht="20.149999999999999" customHeight="1" x14ac:dyDescent="0.45">
      <c r="A30" s="93"/>
      <c r="B30" s="90"/>
      <c r="C30" s="14" t="s">
        <v>91</v>
      </c>
    </row>
    <row r="31" spans="1:3" ht="20.149999999999999" customHeight="1" x14ac:dyDescent="0.45">
      <c r="A31" s="93"/>
      <c r="B31" s="90"/>
      <c r="C31" s="14" t="s">
        <v>92</v>
      </c>
    </row>
    <row r="32" spans="1:3" ht="20.149999999999999" customHeight="1" x14ac:dyDescent="0.45">
      <c r="A32" s="93"/>
      <c r="B32" s="90"/>
      <c r="C32" s="14" t="s">
        <v>93</v>
      </c>
    </row>
    <row r="33" spans="1:3" ht="20.149999999999999" customHeight="1" x14ac:dyDescent="0.45">
      <c r="A33" s="93"/>
      <c r="B33" s="90"/>
      <c r="C33" s="14" t="s">
        <v>94</v>
      </c>
    </row>
    <row r="34" spans="1:3" ht="20.149999999999999" customHeight="1" x14ac:dyDescent="0.45">
      <c r="A34" s="93"/>
      <c r="B34" s="90"/>
      <c r="C34" s="14" t="s">
        <v>95</v>
      </c>
    </row>
    <row r="35" spans="1:3" ht="20.149999999999999" customHeight="1" x14ac:dyDescent="0.45">
      <c r="A35" s="93"/>
      <c r="B35" s="90"/>
      <c r="C35" s="14" t="s">
        <v>96</v>
      </c>
    </row>
    <row r="36" spans="1:3" ht="20.149999999999999" customHeight="1" x14ac:dyDescent="0.45">
      <c r="A36" s="93"/>
      <c r="B36" s="90"/>
      <c r="C36" s="14" t="s">
        <v>97</v>
      </c>
    </row>
    <row r="37" spans="1:3" ht="20.149999999999999" customHeight="1" x14ac:dyDescent="0.45">
      <c r="A37" s="93"/>
      <c r="B37" s="90"/>
      <c r="C37" s="14" t="s">
        <v>164</v>
      </c>
    </row>
    <row r="38" spans="1:3" ht="20.149999999999999" customHeight="1" x14ac:dyDescent="0.45">
      <c r="A38" s="93"/>
      <c r="B38" s="90"/>
      <c r="C38" s="14" t="s">
        <v>165</v>
      </c>
    </row>
    <row r="39" spans="1:3" ht="20.149999999999999" customHeight="1" x14ac:dyDescent="0.45">
      <c r="A39" s="93"/>
      <c r="B39" s="90"/>
      <c r="C39" s="14" t="s">
        <v>166</v>
      </c>
    </row>
    <row r="40" spans="1:3" ht="20.149999999999999" customHeight="1" x14ac:dyDescent="0.45">
      <c r="A40" s="93"/>
      <c r="B40" s="90"/>
      <c r="C40" s="14" t="s">
        <v>167</v>
      </c>
    </row>
    <row r="41" spans="1:3" ht="20.149999999999999" customHeight="1" x14ac:dyDescent="0.45">
      <c r="A41" s="93"/>
      <c r="B41" s="90"/>
      <c r="C41" s="14" t="s">
        <v>168</v>
      </c>
    </row>
    <row r="42" spans="1:3" ht="20.149999999999999" customHeight="1" x14ac:dyDescent="0.45">
      <c r="A42" s="93"/>
      <c r="B42" s="90"/>
      <c r="C42" s="14" t="s">
        <v>169</v>
      </c>
    </row>
    <row r="43" spans="1:3" ht="20.149999999999999" customHeight="1" x14ac:dyDescent="0.45">
      <c r="A43" s="93"/>
      <c r="B43" s="90"/>
      <c r="C43" s="14" t="s">
        <v>170</v>
      </c>
    </row>
    <row r="44" spans="1:3" ht="20.149999999999999" customHeight="1" x14ac:dyDescent="0.45">
      <c r="A44" s="93"/>
      <c r="B44" s="90"/>
      <c r="C44" s="14" t="s">
        <v>171</v>
      </c>
    </row>
    <row r="45" spans="1:3" ht="20.149999999999999" customHeight="1" x14ac:dyDescent="0.45">
      <c r="A45" s="93"/>
      <c r="B45" s="90"/>
      <c r="C45" s="14" t="s">
        <v>172</v>
      </c>
    </row>
    <row r="46" spans="1:3" ht="20.149999999999999" customHeight="1" x14ac:dyDescent="0.45">
      <c r="A46" s="93"/>
      <c r="B46" s="90"/>
      <c r="C46" s="14" t="s">
        <v>173</v>
      </c>
    </row>
    <row r="47" spans="1:3" ht="20.149999999999999" customHeight="1" x14ac:dyDescent="0.45">
      <c r="A47" s="93"/>
      <c r="B47" s="90"/>
      <c r="C47" s="14" t="s">
        <v>174</v>
      </c>
    </row>
    <row r="48" spans="1:3" ht="20.149999999999999" customHeight="1" x14ac:dyDescent="0.45">
      <c r="A48" s="93"/>
      <c r="B48" s="91"/>
      <c r="C48" s="14" t="s">
        <v>98</v>
      </c>
    </row>
    <row r="49" spans="1:3" ht="20.149999999999999" customHeight="1" x14ac:dyDescent="0.25">
      <c r="A49" s="93"/>
      <c r="B49" s="89" t="s">
        <v>103</v>
      </c>
      <c r="C49" s="15" t="s">
        <v>99</v>
      </c>
    </row>
    <row r="50" spans="1:3" ht="20.149999999999999" customHeight="1" x14ac:dyDescent="0.25">
      <c r="A50" s="93"/>
      <c r="B50" s="90"/>
      <c r="C50" s="15" t="s">
        <v>100</v>
      </c>
    </row>
    <row r="51" spans="1:3" ht="20.149999999999999" customHeight="1" x14ac:dyDescent="0.25">
      <c r="A51" s="93"/>
      <c r="B51" s="90"/>
      <c r="C51" s="15" t="s">
        <v>177</v>
      </c>
    </row>
    <row r="52" spans="1:3" ht="20.149999999999999" customHeight="1" x14ac:dyDescent="0.25">
      <c r="A52" s="93"/>
      <c r="B52" s="90"/>
      <c r="C52" s="15" t="s">
        <v>178</v>
      </c>
    </row>
    <row r="53" spans="1:3" ht="20.149999999999999" customHeight="1" x14ac:dyDescent="0.25">
      <c r="A53" s="93"/>
      <c r="B53" s="90"/>
      <c r="C53" s="15" t="s">
        <v>101</v>
      </c>
    </row>
    <row r="54" spans="1:3" ht="20.149999999999999" customHeight="1" x14ac:dyDescent="0.25">
      <c r="A54" s="93"/>
      <c r="B54" s="91"/>
      <c r="C54" s="15" t="s">
        <v>102</v>
      </c>
    </row>
    <row r="55" spans="1:3" ht="20.149999999999999" customHeight="1" x14ac:dyDescent="0.25">
      <c r="A55" s="94"/>
      <c r="B55" s="20" t="s">
        <v>121</v>
      </c>
      <c r="C55" s="15" t="s">
        <v>120</v>
      </c>
    </row>
    <row r="56" spans="1:3" ht="20.149999999999999" customHeight="1" x14ac:dyDescent="0.45">
      <c r="A56" s="89" t="s">
        <v>56</v>
      </c>
      <c r="B56" s="89" t="s">
        <v>114</v>
      </c>
      <c r="C56" s="14" t="s">
        <v>105</v>
      </c>
    </row>
    <row r="57" spans="1:3" ht="20.149999999999999" customHeight="1" x14ac:dyDescent="0.45">
      <c r="A57" s="90"/>
      <c r="B57" s="90"/>
      <c r="C57" s="14" t="s">
        <v>179</v>
      </c>
    </row>
    <row r="58" spans="1:3" ht="20.149999999999999" customHeight="1" x14ac:dyDescent="0.45">
      <c r="A58" s="90"/>
      <c r="B58" s="90"/>
      <c r="C58" s="14" t="s">
        <v>106</v>
      </c>
    </row>
    <row r="59" spans="1:3" ht="20.149999999999999" customHeight="1" x14ac:dyDescent="0.45">
      <c r="A59" s="90"/>
      <c r="B59" s="90"/>
      <c r="C59" s="14" t="s">
        <v>203</v>
      </c>
    </row>
    <row r="60" spans="1:3" ht="20.149999999999999" customHeight="1" x14ac:dyDescent="0.45">
      <c r="A60" s="90"/>
      <c r="B60" s="90"/>
      <c r="C60" s="14" t="s">
        <v>107</v>
      </c>
    </row>
    <row r="61" spans="1:3" ht="20.149999999999999" customHeight="1" x14ac:dyDescent="0.45">
      <c r="A61" s="90"/>
      <c r="B61" s="90"/>
      <c r="C61" s="14" t="s">
        <v>108</v>
      </c>
    </row>
    <row r="62" spans="1:3" ht="20.149999999999999" customHeight="1" x14ac:dyDescent="0.45">
      <c r="A62" s="90"/>
      <c r="B62" s="90"/>
      <c r="C62" s="14" t="s">
        <v>109</v>
      </c>
    </row>
    <row r="63" spans="1:3" ht="20.149999999999999" customHeight="1" x14ac:dyDescent="0.45">
      <c r="A63" s="90"/>
      <c r="B63" s="90"/>
      <c r="C63" s="14" t="s">
        <v>110</v>
      </c>
    </row>
    <row r="64" spans="1:3" ht="20.149999999999999" customHeight="1" x14ac:dyDescent="0.45">
      <c r="A64" s="90"/>
      <c r="B64" s="90"/>
      <c r="C64" s="14" t="s">
        <v>180</v>
      </c>
    </row>
    <row r="65" spans="1:3" ht="20.149999999999999" customHeight="1" x14ac:dyDescent="0.45">
      <c r="A65" s="90"/>
      <c r="B65" s="90"/>
      <c r="C65" s="14" t="s">
        <v>181</v>
      </c>
    </row>
    <row r="66" spans="1:3" ht="20.149999999999999" customHeight="1" x14ac:dyDescent="0.45">
      <c r="A66" s="90"/>
      <c r="B66" s="90"/>
      <c r="C66" s="14" t="s">
        <v>111</v>
      </c>
    </row>
    <row r="67" spans="1:3" ht="20.149999999999999" customHeight="1" x14ac:dyDescent="0.45">
      <c r="A67" s="90"/>
      <c r="B67" s="90"/>
      <c r="C67" s="14" t="s">
        <v>112</v>
      </c>
    </row>
    <row r="68" spans="1:3" ht="20.149999999999999" customHeight="1" x14ac:dyDescent="0.45">
      <c r="A68" s="90"/>
      <c r="B68" s="91"/>
      <c r="C68" s="14" t="s">
        <v>113</v>
      </c>
    </row>
    <row r="69" spans="1:3" ht="20.149999999999999" customHeight="1" x14ac:dyDescent="0.45">
      <c r="A69" s="90"/>
      <c r="B69" s="89" t="s">
        <v>16</v>
      </c>
      <c r="C69" s="14" t="s">
        <v>104</v>
      </c>
    </row>
    <row r="70" spans="1:3" ht="20.149999999999999" customHeight="1" x14ac:dyDescent="0.45">
      <c r="A70" s="90"/>
      <c r="B70" s="90"/>
      <c r="C70" s="14" t="s">
        <v>116</v>
      </c>
    </row>
    <row r="71" spans="1:3" ht="20.149999999999999" customHeight="1" x14ac:dyDescent="0.45">
      <c r="A71" s="90"/>
      <c r="B71" s="90"/>
      <c r="C71" s="14" t="s">
        <v>117</v>
      </c>
    </row>
    <row r="72" spans="1:3" ht="20.149999999999999" customHeight="1" x14ac:dyDescent="0.45">
      <c r="A72" s="90"/>
      <c r="B72" s="90"/>
      <c r="C72" s="14" t="s">
        <v>118</v>
      </c>
    </row>
    <row r="73" spans="1:3" ht="20.149999999999999" customHeight="1" x14ac:dyDescent="0.45">
      <c r="A73" s="90"/>
      <c r="B73" s="91"/>
      <c r="C73" s="14" t="s">
        <v>119</v>
      </c>
    </row>
    <row r="74" spans="1:3" ht="20.149999999999999" customHeight="1" x14ac:dyDescent="0.45">
      <c r="A74" s="90"/>
      <c r="B74" s="89" t="s">
        <v>17</v>
      </c>
      <c r="C74" s="21" t="s">
        <v>184</v>
      </c>
    </row>
    <row r="75" spans="1:3" ht="20.149999999999999" customHeight="1" x14ac:dyDescent="0.45">
      <c r="A75" s="90"/>
      <c r="B75" s="90"/>
      <c r="C75" s="21" t="s">
        <v>122</v>
      </c>
    </row>
    <row r="76" spans="1:3" ht="20.149999999999999" customHeight="1" x14ac:dyDescent="0.45">
      <c r="A76" s="90"/>
      <c r="B76" s="90"/>
      <c r="C76" s="21" t="s">
        <v>123</v>
      </c>
    </row>
    <row r="77" spans="1:3" ht="20.149999999999999" customHeight="1" x14ac:dyDescent="0.45">
      <c r="A77" s="90"/>
      <c r="B77" s="90"/>
      <c r="C77" s="21" t="s">
        <v>124</v>
      </c>
    </row>
    <row r="78" spans="1:3" ht="20.149999999999999" customHeight="1" x14ac:dyDescent="0.45">
      <c r="A78" s="90"/>
      <c r="B78" s="90"/>
      <c r="C78" s="21" t="s">
        <v>125</v>
      </c>
    </row>
    <row r="79" spans="1:3" ht="20.149999999999999" customHeight="1" x14ac:dyDescent="0.45">
      <c r="A79" s="90"/>
      <c r="B79" s="90"/>
      <c r="C79" s="21" t="s">
        <v>126</v>
      </c>
    </row>
    <row r="80" spans="1:3" ht="20.149999999999999" customHeight="1" x14ac:dyDescent="0.45">
      <c r="A80" s="90"/>
      <c r="B80" s="90"/>
      <c r="C80" s="21" t="s">
        <v>127</v>
      </c>
    </row>
    <row r="81" spans="1:3" ht="20.149999999999999" customHeight="1" x14ac:dyDescent="0.45">
      <c r="A81" s="90"/>
      <c r="B81" s="90"/>
      <c r="C81" s="21" t="s">
        <v>128</v>
      </c>
    </row>
    <row r="82" spans="1:3" ht="20.149999999999999" customHeight="1" x14ac:dyDescent="0.45">
      <c r="A82" s="90"/>
      <c r="B82" s="90"/>
      <c r="C82" s="21" t="s">
        <v>129</v>
      </c>
    </row>
    <row r="83" spans="1:3" ht="20.149999999999999" customHeight="1" x14ac:dyDescent="0.45">
      <c r="A83" s="90"/>
      <c r="B83" s="90"/>
      <c r="C83" s="21" t="s">
        <v>130</v>
      </c>
    </row>
    <row r="84" spans="1:3" ht="20.149999999999999" customHeight="1" x14ac:dyDescent="0.45">
      <c r="A84" s="90"/>
      <c r="B84" s="90"/>
      <c r="C84" s="21" t="s">
        <v>131</v>
      </c>
    </row>
    <row r="85" spans="1:3" ht="20.149999999999999" customHeight="1" x14ac:dyDescent="0.45">
      <c r="A85" s="90"/>
      <c r="B85" s="90"/>
      <c r="C85" s="21" t="s">
        <v>132</v>
      </c>
    </row>
    <row r="86" spans="1:3" ht="20.149999999999999" customHeight="1" x14ac:dyDescent="0.45">
      <c r="A86" s="90"/>
      <c r="B86" s="90"/>
      <c r="C86" s="21" t="s">
        <v>185</v>
      </c>
    </row>
    <row r="87" spans="1:3" ht="20.149999999999999" customHeight="1" x14ac:dyDescent="0.45">
      <c r="A87" s="90"/>
      <c r="B87" s="91"/>
      <c r="C87" s="21" t="s">
        <v>133</v>
      </c>
    </row>
    <row r="88" spans="1:3" ht="20.149999999999999" customHeight="1" x14ac:dyDescent="0.45">
      <c r="A88" s="90"/>
      <c r="B88" s="89" t="s">
        <v>142</v>
      </c>
      <c r="C88" s="21" t="s">
        <v>149</v>
      </c>
    </row>
    <row r="89" spans="1:3" ht="20.149999999999999" customHeight="1" x14ac:dyDescent="0.45">
      <c r="A89" s="90"/>
      <c r="B89" s="90"/>
      <c r="C89" s="21">
        <v>1104</v>
      </c>
    </row>
    <row r="90" spans="1:3" ht="20.149999999999999" customHeight="1" x14ac:dyDescent="0.45">
      <c r="A90" s="90"/>
      <c r="B90" s="90"/>
      <c r="C90" s="21" t="s">
        <v>205</v>
      </c>
    </row>
    <row r="91" spans="1:3" ht="20.149999999999999" customHeight="1" x14ac:dyDescent="0.45">
      <c r="A91" s="90"/>
      <c r="B91" s="90"/>
      <c r="C91" s="21" t="s">
        <v>134</v>
      </c>
    </row>
    <row r="92" spans="1:3" ht="20.149999999999999" customHeight="1" x14ac:dyDescent="0.45">
      <c r="A92" s="90"/>
      <c r="B92" s="90"/>
      <c r="C92" s="21" t="s">
        <v>135</v>
      </c>
    </row>
    <row r="93" spans="1:3" ht="20.149999999999999" customHeight="1" x14ac:dyDescent="0.45">
      <c r="A93" s="90"/>
      <c r="B93" s="90"/>
      <c r="C93" s="21" t="s">
        <v>136</v>
      </c>
    </row>
    <row r="94" spans="1:3" ht="20.149999999999999" customHeight="1" x14ac:dyDescent="0.45">
      <c r="A94" s="90"/>
      <c r="B94" s="90"/>
      <c r="C94" s="21" t="s">
        <v>137</v>
      </c>
    </row>
    <row r="95" spans="1:3" ht="20.149999999999999" customHeight="1" x14ac:dyDescent="0.45">
      <c r="A95" s="90"/>
      <c r="B95" s="90"/>
      <c r="C95" s="21" t="s">
        <v>138</v>
      </c>
    </row>
    <row r="96" spans="1:3" ht="20.149999999999999" customHeight="1" x14ac:dyDescent="0.45">
      <c r="A96" s="90"/>
      <c r="B96" s="90"/>
      <c r="C96" s="21" t="s">
        <v>139</v>
      </c>
    </row>
    <row r="97" spans="1:3" ht="20.149999999999999" customHeight="1" x14ac:dyDescent="0.45">
      <c r="A97" s="90"/>
      <c r="B97" s="90"/>
      <c r="C97" s="21" t="s">
        <v>140</v>
      </c>
    </row>
    <row r="98" spans="1:3" ht="20.149999999999999" customHeight="1" x14ac:dyDescent="0.45">
      <c r="A98" s="90"/>
      <c r="B98" s="90"/>
      <c r="C98" s="21" t="s">
        <v>141</v>
      </c>
    </row>
    <row r="99" spans="1:3" ht="20.149999999999999" customHeight="1" x14ac:dyDescent="0.45">
      <c r="A99" s="90"/>
      <c r="B99" s="90"/>
      <c r="C99" s="21" t="s">
        <v>182</v>
      </c>
    </row>
    <row r="100" spans="1:3" ht="20.149999999999999" customHeight="1" x14ac:dyDescent="0.45">
      <c r="A100" s="91"/>
      <c r="B100" s="91"/>
      <c r="C100" s="21" t="s">
        <v>183</v>
      </c>
    </row>
    <row r="101" spans="1:3" ht="20.149999999999999" customHeight="1" x14ac:dyDescent="0.45">
      <c r="A101" s="83" t="s">
        <v>146</v>
      </c>
      <c r="B101" s="84"/>
      <c r="C101" s="21" t="s">
        <v>143</v>
      </c>
    </row>
    <row r="102" spans="1:3" ht="20.149999999999999" customHeight="1" x14ac:dyDescent="0.45">
      <c r="A102" s="85"/>
      <c r="B102" s="86"/>
      <c r="C102" s="21" t="s">
        <v>144</v>
      </c>
    </row>
    <row r="103" spans="1:3" ht="20.149999999999999" customHeight="1" x14ac:dyDescent="0.45">
      <c r="A103" s="87"/>
      <c r="B103" s="88"/>
      <c r="C103" s="21" t="s">
        <v>145</v>
      </c>
    </row>
  </sheetData>
  <mergeCells count="16">
    <mergeCell ref="A2:A3"/>
    <mergeCell ref="A4:A15"/>
    <mergeCell ref="B4:B10"/>
    <mergeCell ref="B11:B15"/>
    <mergeCell ref="B16:B17"/>
    <mergeCell ref="A16:A26"/>
    <mergeCell ref="B18:B26"/>
    <mergeCell ref="A101:B103"/>
    <mergeCell ref="B88:B100"/>
    <mergeCell ref="A56:A100"/>
    <mergeCell ref="B27:B48"/>
    <mergeCell ref="A27:A55"/>
    <mergeCell ref="B49:B54"/>
    <mergeCell ref="B56:B68"/>
    <mergeCell ref="B69:B73"/>
    <mergeCell ref="B74:B87"/>
  </mergeCells>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文档目录</vt:lpstr>
      <vt:lpstr>案例清单</vt:lpstr>
      <vt:lpstr>通用补充信息</vt:lpstr>
      <vt:lpstr>数据应用类补充信息</vt:lpstr>
      <vt:lpstr>客户清单</vt:lpstr>
      <vt:lpstr>附1-客户类型总览</vt:lpstr>
      <vt:lpstr>附2-解决方案体系</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13942;王穆军</dc:creator>
  <cp:keywords>宏;案例收集;代码集合</cp:keywords>
  <cp:lastModifiedBy>Major Wang</cp:lastModifiedBy>
  <dcterms:created xsi:type="dcterms:W3CDTF">2015-06-05T18:19:00Z</dcterms:created>
  <dcterms:modified xsi:type="dcterms:W3CDTF">2024-07-25T06:40:06Z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ubyTemplateID" linkTarget="0">
    <vt:lpwstr>11</vt:lpwstr>
  </property>
  <property fmtid="{D5CDD505-2E9C-101B-9397-08002B2CF9AE}" pid="3" name="KSOProductBuildVer">
    <vt:lpwstr>2052-11.1.0.9739</vt:lpwstr>
  </property>
</Properties>
</file>